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9930142E-56AE-48E8-986B-B49C199E4D92}" xr6:coauthVersionLast="47" xr6:coauthVersionMax="47" xr10:uidLastSave="{00000000-0000-0000-0000-000000000000}"/>
  <bookViews>
    <workbookView xWindow="0" yWindow="0" windowWidth="0" windowHeight="0" xr2:uid="{00000000-000D-0000-FFFF-FFFF00000000}"/>
  </bookViews>
  <sheets>
    <sheet name="Corectare Proiect 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 i="1" l="1"/>
  <c r="K28" i="1"/>
  <c r="I28" i="1"/>
  <c r="G28" i="1"/>
  <c r="E28" i="1"/>
</calcChain>
</file>

<file path=xl/sharedStrings.xml><?xml version="1.0" encoding="utf-8"?>
<sst xmlns="http://schemas.openxmlformats.org/spreadsheetml/2006/main" count="371" uniqueCount="221">
  <si>
    <t>CORECTARE PROIECT 2 — POO — Grupele 141 &amp; 144</t>
  </si>
  <si>
    <t>Reevaluare completa — toate proiectele recitite integral</t>
  </si>
  <si>
    <t>Nr.</t>
  </si>
  <si>
    <t>Nume Student</t>
  </si>
  <si>
    <t>Grupa</t>
  </si>
  <si>
    <t>Domeniu Aplicatie</t>
  </si>
  <si>
    <t>C1
Ierarhie
(15p)</t>
  </si>
  <si>
    <t>C2
Compunere
(10p)</t>
  </si>
  <si>
    <t>C3
Cls.Abstr.
(15p)</t>
  </si>
  <si>
    <t>C4
Polimorfism
(15p)</t>
  </si>
  <si>
    <t>C5
Destr.Virt.
(10p)</t>
  </si>
  <si>
    <t>C6
dynamic_cast
(10p)</t>
  </si>
  <si>
    <t>C7
Acces
(5p)</t>
  </si>
  <si>
    <t>C8
Cer.P1
(10p)</t>
  </si>
  <si>
    <t>C9
Meniu
(10p)</t>
  </si>
  <si>
    <t>TOTAL
Baza
(/100)</t>
  </si>
  <si>
    <t>TOTAL
FINAL
(/110)</t>
  </si>
  <si>
    <t>Bonus
Acordat
(+10)</t>
  </si>
  <si>
    <t>Observatii / Penalizari</t>
  </si>
  <si>
    <t>Intrebare 1 (specific)</t>
  </si>
  <si>
    <t>Raspuns 1</t>
  </si>
  <si>
    <t>Intrebare 2 (specific)</t>
  </si>
  <si>
    <t>Raspuns 2</t>
  </si>
  <si>
    <t>Bloc 1: Memorie &amp; Pointeri
(Intrebari)</t>
  </si>
  <si>
    <t>Bloc 1: Memorie &amp; Pointeri
(Raspunsuri)</t>
  </si>
  <si>
    <t>Bloc 2: Mostenire &amp; Polimorfism
(Intrebari)</t>
  </si>
  <si>
    <t>Bloc 2: Mostenire &amp; Polimorfism
(Raspunsuri)</t>
  </si>
  <si>
    <t>Bloc 3: Clase &amp; Encapsulare
(Intrebari)</t>
  </si>
  <si>
    <t>Bloc 3: Clase &amp; Encapsulare
(Raspunsuri)</t>
  </si>
  <si>
    <t>Bosoc Andrei-Bogdan</t>
  </si>
  <si>
    <t>Fotbal – Jucator(abs)/Portar/Fundas/Atacant/Mijlocas + Echipa + Contract(HAS-A)</t>
  </si>
  <si>
    <t>+10p: +10: typeid+type_info demonstrat in fisaJucator() (cerinta bonus explicita)</t>
  </si>
  <si>
    <t>Proiect exemplar. Ierarhie 4 niveluri, 2 pur virtuale, Jucator HAS-A Contract init in lista, dynamic_cast cu 4 tipuri justificat, typeid bonus, meniu CRUD complet cu toate functionalitarile P2.</t>
  </si>
  <si>
    <t>Ce este `typeid` si ce returneaza?</t>
  </si>
  <si>
    <t>`typeid(expr)` (din &lt;typeinfo&gt;) returneaza un `const type_info&amp;` cu informatii despre tipul real al obiectului la runtime. `typeid(*ptr).name()` afiseaza numele tipului derivat chiar daca ptr e de tip baza. Diferit de dynamic_cast: nu face conversia, doar informeaza.</t>
  </si>
  <si>
    <t>De ce este Jucator clasa abstracta desi are si metode concrete (afisareStatistici)?</t>
  </si>
  <si>
    <t>O clasa cu cel putin o functie pur virtuala devine abstracta indiferent de cate metode concrete are. Metodele concrete din Jucator (afisareStatistici) pot fi mostenite si reutilizate de derivate fara a fi reimplementate, demonstrand reutilizarea codului in ierarhii.</t>
  </si>
  <si>
    <t>1. Ce este memory leak si cum il evitam?
2. Ce inseamna deep copy vs shallow copy?
3. Ce face delete vs delete[]?
4. De ce verificam this!=&amp;alt in operator=?</t>
  </si>
  <si>
    <t>1. Memory leak = memorie alocata cu new ce nu e eliberata cu delete. Evitam cu: destructori corecti, regula de 3, smart pointers, fara new fara delete corespunzator.
2. Shallow copy: copie a pointerului (ambele obiecte pointeaza la aceeasi memorie → double-delete la distrugere). Deep copy: alocare noua + copiere continutului (obiecte independente). Constructorul de copiere implicit face shallow copy — de aceea regula de 3 e obligatorie cu char*.
3. delete: elibereaza un singur obiect alocat cu new T. delete[]: elibereaza un tablou alocat cu new T[n], apeland destructorul pentru fiecare element. Folosirea delete in loc de delete[] pe tablou = UB (Undefined Behaviour).
4. Fara verificare, `a = a` ar face: delete[] a.date → strCpy(a.date, a.date) pe memorie eliberata → crash. Verificarea this != &amp;alt protejeaza impotriva auto-atribuirii.</t>
  </si>
  <si>
    <t>1. Ce este upcasting implicit si cand se produce?
2. Ce este object slicing si cum il evitam?
3. Diferenta suprascriere (override) vs supraincalcare (overload)?
4. Ce inseamna functie virtuala pura si ce obligatii impune?</t>
  </si>
  <si>
    <t>1. Upcasting implicit = conversia automata de la pointer/referinta la derivata la pointer/referinta la baza. Se produce la: atribuire (Baza* p = new Derivat()), pasare ca parametru, return. Nu necesita cast explicit, e intotdeauna sigur.
2. Object slicing = la copierea prin valoare a unui obiect derivat intr-o variabila de tip baza, se copiaza DOAR partea bazei, informatiile derivatei sunt pierdute (taiate). Evitare: lucram intotdeauna cu pointeri sau referinte la baza, nu copii prin valoare.
3. Override (suprascriere): aceeasi semnatura ca in baza, comportament nou in derivata. Legatura la runtime prin vtable. Necesita virtual in baza. Overload (supraincalcare): mai multe functii cu acelasi nume dar parametri diferiti. Legatura la compilare. Nu necesita virtual.
4. Functia virtuala pura (= 0): nu are implementare in baza, face clasa abstracta (neinstantiabila). Obliga fiecare clasa derivata CONCRETA sa furnizeze implementare. Daca o derivata nu implementeaza toate pur virtualele, ramane si ea abstracta.</t>
  </si>
  <si>
    <t>1. Ce este constructorul de copiere si cand e apelat implicit?
2. Diferenta class vs struct in C++?
3. Ce este un constructor explicit si de ce il folosim?
4. Ce face cuvantul cheie const pe o metoda membra?</t>
  </si>
  <si>
    <t>1. Constructorul de copiere: `Clasa(const Clasa&amp; alt)` — creeaza un obiect nou ca o copie a altuia. Apelat implicit la: initializare prin copiere (Clasa b = a), pasare prin valoare ca parametru, return prin valoare. Fara el explicit, compilatorul genereaza unul cu shallow copy.
2. class vs struct: singura diferenta in C++ este accesul default. class: membrii sunt private implicit. struct: membrii sunt public implicit. In rest, ambele suporta mostenire, virtual, constructori etc. Conventional: struct pentru date simple (POD), class pentru abstractizari cu comportament.
3. Constructor explicit: `explicit Clasa(int x)` — previne conversia implicita de tip. Fara explicit, compilatorul poate converti automat un int la Clasa intr-un context neasteptat. Cu explicit, conversia trebuie scrisa manual: `Clasa obj(5)` sau `static_cast&lt;Clasa&gt;(5)`.
4. `const` pe o metoda (`void f() const`): garanteaza ca metoda nu modifica starea obiectului. Compilatorul refuza orice scriere pe membri in corpul metodei. Permite apelul metodei pe obiecte/referinte/pointeri const. Buna practica: toate metodele care nu modifica starea trebuie marcate const (getteri etc.).</t>
  </si>
  <si>
    <t>Chitic David-Alexandru</t>
  </si>
  <si>
    <t>Forme Geometrice GUI SDL3 – Shape(abs)/Rectangle+Diamond→Square (mostenire diamant) + GUI</t>
  </si>
  <si>
    <t>+10p: +10: GUI SDL3 + mostenire diamant cu virtual public demonstrata (2 cerinte bonus)</t>
  </si>
  <si>
    <t>DEDUCERI:
-1 C2: compunerea has-a nu e cu un obiect de clasa proprie custom initializat explicit cu mesaje de constructie
-2 C3: Shape nu are pur virtuale clare in header — OnInitialize()=0 e in UIElement din alta lib; clone() nu e pur virtual in Shape; fara comentariu explicit
-2 C4: polimorfismul prin pointeri la Shape* nu e demonstrat explicit cu tablou si late binding vizibil
-3 C6: dynamic_cast nu e folosit direct in codul aplicatiei cu justificare vs static_cast
-1 C8: copy constructor si operator= lipsesc din unele derivate
-3 C9: fara meniu text CRUD interactiv (inlocuit cu GUI — bonus acordat, dar cerinta P2 nu e acoperita complet)
Proiect ambitos cu GUI SDL3. Ierarhia diamant Shape→Rectangle/Diamond→Square cu virtual public excelenta. Comentarii modificatori de acces exemplare. Lipsesc: dynamic_cast explicit, meniu text CRUD, pur virtuale in Shape.</t>
  </si>
  <si>
    <t>Cum se apeleaza constructorul bazei comune intr-o ierarhie diamant si de ce?</t>
  </si>
  <si>
    <t>Intr-o ierarhie cu virtual public, constructorul clasei comune (Shape) trebuie apelat explicit din constructorul CELEI MAI DERIVATE clase (Square), nu din clasele intermediare (Rectangle, Diamond). Fara apel explicit, se apeleaza constructorul implicit al lui Shape. Clasele intermediare ignora apelul lor catre Shape daca cel mai derivat constructor il apeleaza deja.</t>
  </si>
  <si>
    <t>Ce este `virtual public` si cum difera de `public` simplu la mostenire?</t>
  </si>
  <si>
    <t>La `class Rectangle : virtual public Shape`, compilatorul creaza un singur subobiect Shape, partajat prin toate caile de mostenire. La `class Rectangle : public Shape` (fara virtual), fiecare derivata are propria copie de Shape — in ierarhia diamant ar rezulta 2 copii, cu access ambiguu la membrii Shape.</t>
  </si>
  <si>
    <t>Ghenea Razvan-Andrei</t>
  </si>
  <si>
    <t>N/A — fisier .sln Visual Studio trimis in loc de cod sursa</t>
  </si>
  <si>
    <t>-</t>
  </si>
  <si>
    <t>DEDUCERI:
Fisier .sln (Visual Studio Solution) trimis fara niciun .cpp/.h
Nu exista cod de evaluat — nota 1
NOTA 1 — Nu exista cod sursa predat.</t>
  </si>
  <si>
    <t>Ce este o clasa abstracta?</t>
  </si>
  <si>
    <t>O clasa cu cel putin o functie pur virtuala (= 0). Nu poate fi instantiata direct. Derivatele concrete trebuie sa implementeze toate pur virtualele.</t>
  </si>
  <si>
    <t>De ce este necesar destructorul virtual?</t>
  </si>
  <si>
    <t>Fara destructor virtual, `delete ptr_baza` apeleaza DOAR destructorul bazei, nu al derivatei — memory leak. Cu virtual, se apeleaza destructorul derivatei, apoi al bazei.</t>
  </si>
  <si>
    <t>Goaga Andrei-Eric</t>
  </si>
  <si>
    <t>Gestiune Depozit – ArticolStoc(abs)/Produs/ProdusPerisabil + Echipament + Eticheta(HAS-A)</t>
  </si>
  <si>
    <t>Proiect exemplar. 3 pur virtuale, mesaje [Construct/Destruct Nivel 1/2/3] clare, Produs HAS-A Eticheta init in lista, dynamic_cast cu 2 tipuri justificat explicit vs static_cast, meniu CRUD complet. Custom strLen/strCpy fara STL.</t>
  </si>
  <si>
    <t>De ce este dynamic_cast mai sigur decat static_cast la downcast?</t>
  </si>
  <si>
    <t>`static_cast` forteaza conversia la compilare fara verificare runtime — daca obiectul real nu e de tipul dorit, accesam memorie invalida (UB). `dynamic_cast` verifica tipul real prin vtable la runtime si returneaza nullptr (pointeri) sau arunca bad_cast (referinte) la esec. In contextul unui tablou ArticolStoc* cu tipuri mixte, nu stim tipul real la compilare.</t>
  </si>
  <si>
    <t>Ce se intampla la ordinea constructie/destructie intr-o ierarhie de 3 niveluri?</t>
  </si>
  <si>
    <t>Constructie: Eticheta (componenta) → ArticolStoc (nivel 1) → Produs (nivel 2) → ProdusPerisabil (nivel 3). Destructie: INVERS — ProdusPerisabil → Produs → ArticolStoc → Eticheta. Aceasta ordine e garantata de limbaj si demonstreaza corectitudinea gestionarii resurselor.</t>
  </si>
  <si>
    <t>Lungoci Andrei-Dumitru</t>
  </si>
  <si>
    <t>Sistem Educational – PersoanaAbstracta/Profesor/ProfesorSenior + Disciplina(HAS-A Locatie)</t>
  </si>
  <si>
    <t>DEDUCERI:
-2 C2: Disciplina (clasa cu has-a Locatie) exista separat dar Profesor nu contine un obiect Disciplina direct ca data membra — compunerea nu e in Profesor ci in Disciplina; cerinta cere ca gazda ierarhiei sa aiba compunerea
-1 C4: demonstrarea late binding ar fi mai clara cu output diferentiat per tip derivat
-1 C6: justificarea dynamic_cast vs static_cast succinta
-1 C9: meniu fara operatii specifice tipului derivat dupa downcast
Proiect bine structurat. PersoanaAbstracta cu 2 pur virtuale. Constructori in lista cu mesaje. Compunerea has-a e in Disciplina (Locatie), nu in Profesor — penalizare minora. Meniu CRUD functional.</t>
  </si>
  <si>
    <t>De ce apelam constructorul bazei in lista de initializare si nu in corpul {}?</t>
  </si>
  <si>
    <t>In lista de initializare, membrii si baza se construiesc INAINTE de executia corpului {}. In corp, obiectele ar fi deja construite (cu valori default) si le-am rescrie — ineficient si incorect pentru membrii const sau referinte. Lista garanteaza constructia o singura data cu valorile corecte.</t>
  </si>
  <si>
    <t>Ce este diferenta intre `protected` la mostenire si `protected` ca modificator de acces?</t>
  </si>
  <si>
    <t>Modificator de acces: `protected` pe un membru al clasei il face accesibil in clasa si in derivatele ei, dar nu din exterior. Tipul de mostenire: `class D : protected B` face ca toti membrii publici ai lui B sa devina protected in D (nu mai sunt accesibili din exterior, dar sunt in derivatele lui D). Sunt concepte distincte.</t>
  </si>
  <si>
    <t>Lupu Maria-Anesia</t>
  </si>
  <si>
    <t>Clinica Veterinara – Animal/Mamifer/Caine+Pisica + Angajat(abs)/Medici/Asistent + Procedura(HAS-A)</t>
  </si>
  <si>
    <t>DEDUCERI:
-1 C1: ordinea constructie/destructie nu e demonstrata cu mesaje pe AMBELE ierarhii (Animal si Angajat)
-2 C3: Angajat are 2 pur virtuale (afiseazaAtributii, getSalariuLunar), dar fara comentariu explicit 'nu poate fi instantiata'; afisazaTipAngajat() e metoda concreta fara virtual — ok dar mesajul e confuz
-2 C4: tabloul Angajat** e demonstrat in demonstreazaPolimorfism() separat, nu integrat in meniu CRUD principal
-1 C5: ordinea destructorilor nu e demonstrata sistematic pe ambele ierarhii
-1 C6: justificarea dynamic_cast vs static_cast e concisa (1 propozitie)
Proiect complex cu 2 ierarhii paralele. Animal HAS-A Procedura cu init in lista demonstrata excelent. dynamic_cast&lt;Medici*&gt; cu nullptr verificat. Meniu interactiv. Penalizari pentru demonstrarea incompleta a conceptelor pe ambele ierarhii.</t>
  </si>
  <si>
    <t>Cum demonstrati ca destructorii se apeleaza in ordinea inversa constructiei?</t>
  </si>
  <si>
    <t>Adaugand mesaje cout in fiecare constructor si destructor al ierarhiei. La creare: Animal (baza) → Mamifer → Caine. La distrugere: Caine → Mamifer → Animal. Acest test verifica si ca destructorul bazei e virtual (altfel la delete prin pointer Animal* s-ar apela doar ~Animal()).</t>
  </si>
  <si>
    <t>De ce are Angajat destructor virtual desi nu are date membre proprii?</t>
  </si>
  <si>
    <t>Orice clasa cu functii virtuale TREBUIE sa aiba destructor virtual, indiferent de date membre. Fara virtual, `delete ptr_angajat` pe un obiect Medici ar apela doar ~Angajat(), nu ~Medici(). Daca Medici aloca memorie (specializare, proceduriFacute), aceea memorie nu ar fi eliberata — memory leak.</t>
  </si>
  <si>
    <t>Nacu Mihai</t>
  </si>
  <si>
    <t>Restaurant Delivery – Person(abs)/StaffMember/Courier(final) + Client + Courier HAS-A Vehicle</t>
  </si>
  <si>
    <t>DEDUCERI:
-1 C3: Person are display()=0 si getRole()=0 (2 pur virtuale ok), dar comentariul 'nu poate fi instantiata direct' e sumar
-2 C4: demonstrarea late binding e prezenta dar mai putin vizibila — nu e un tablou explicit Person* cu afisare comparativa
-1 C6: dynamic_cast cu Client* si Courier* verificat corect; justificarea 'safer than static_cast because it checks the real type' e prezenta dar in engleza informala
Proiect bine structurat multi-fisier. Courier HAS-A Vehicle initializat in lista (vehicle() in fiecare constructor). 3 niveluri Person→StaffMember→Courier. Courier final (bonus implicit). dynamic_cast cu 2 tipuri, nullptr verificat. Meniu CRUD functional.</t>
  </si>
  <si>
    <t>Ce face `final` pe o clasa si ce avantaj are in contextul Courier?</t>
  </si>
  <si>
    <t>`class Courier final` interzice derivarea din Courier. In contextul aplicatiei, un Courier e forma finala a unui angajat cu vehicul — nu are sens o clasa 'SuperCourier'. Avantaj: (1) exprima intentia designerului; (2) permite optimizari de compilator (devirtualizare); (3) previne extensii neprevazute care ar putea rupe logica de business.</t>
  </si>
  <si>
    <t>De ce este Courier HAS-A Vehicle mai bine decat Courier IS-A Vehicle?</t>
  </si>
  <si>
    <t>IS-A (mostenire) ar insemna ca un Courier 'este un' Vehicle — semantic incorect. HAS-A (compunere) modeleaza corect relatia: un Courier 'are un' vehicul de lucru. Compunerea ofera si flexibilitate: vehiculul poate fi schimbat (setVehicleType), iar Courier nu e constrans de interfata lui Vehicle.</t>
  </si>
  <si>
    <t>Palos Gheorghe</t>
  </si>
  <si>
    <t>Cinema – Proiectie(abs)/Film(virtual)/Film2D/FilmIMAX + Sala + mostenire diamant</t>
  </si>
  <si>
    <t>+10p: +10: mostenire diamant FilmIMAX(Film+Film3D) cu virtual public + typeid in main</t>
  </si>
  <si>
    <t>DEDUCERI:
-1 C2: Sala nu are compunere cu obiect custom; Film contine int* ratinguri (nu obiect de clasa separata); compunerea e implicita prin Film→Proiectie, nu has-a explicit
-1 C4: demonstrarea late binding ar fi mai clara cu output diferentiat vizibil per tip
-1 C6: tratarea esecului dynamic_cast (cazul nullptr) ar putea fi mai explicita
-1 C9: operatii specifice tipului derivat dupa downcast putine
Proiect impresionant. 4+ niveluri, diamant cu virtual public (bonus), typeid (bonus). Cod dens dar functional. Proiectie abstracta cu 3 pur virtuale. Penalizare minora la compunere has-a (lipseste obiect direct custom).</t>
  </si>
  <si>
    <t>In ierarhia diamant, de cate ori e apelat constructorul lui Proiectie la crearea unui FilmIMAX?</t>
  </si>
  <si>
    <t>O singura data. Cu virtual public, exista un singur subobiect Proiectie. Constructorul sau e apelat exclusiv din constructorul cel mai derivat (FilmIMAX), nu din Film sau Film3D (acestea ignora apelul lor catre Proiectie in contextul mostenirii virtuale). Fara virtual, ar fi apelat de 2 ori.</t>
  </si>
  <si>
    <t>Cum folositi typeid pentru a determina tipul real al unui obiect Proiectie*?</t>
  </si>
  <si>
    <t>`typeid(*ptr).name()` returneaza un sir cu numele tipului real (ex: 'FilmIMAX'). `typeid(*ptr) == typeid(Film2D)` testeaza daca tipul real e exact Film2D (nu derivatele lui). Diferit de dynamic_cast: typeid nu face conversie, doar interogare. Util in afisari de debug sau log-uri.</t>
  </si>
  <si>
    <t>Patrascu Andrei</t>
  </si>
  <si>
    <t>Industrie Muzicala – Persoana(abs)/Artist + Utilizator/CreatorContinut (3 niveluri) + Melodie + Playlist</t>
  </si>
  <si>
    <t>DEDUCERI:
-2 C1: mesajele de constructie/destructie sunt prezente pentru ierarhia Persoana dar incomplete (Artist si Utilizator au mesaje, CreatorContinut are, baza Persoana are — ok; dar ordinea explicita a 3 niveluri nu e demonstrata clar intr-un singur flux)
-5 C2: Utilizator contine Playlist* (tablou dinamic de pointeri) — aceasta nu este compunere has-a directa (obiect direct, nu pointer); nu e initializata printr-un obiect cu mesaje in lista
-2 C3: Persoana are 2 pur virtuale (AfiseazaTip, ActiuneSpecifica) ok; dar comentariul explicit 'nu poate fi instantiata' e sumar si ierarhia CreatorContinut nu reimplementeaza pur virtualele in mod evident
-2 C4: tablou Persoana* exista si e folosit; dar afisarea polimorfica nu diferentiaza vizibil tipurile derivate
-1 C5: ordinea destructorilor nu e demonstrata sistematic
-1 C6: dynamic_cast cu nullptr verificat si justificat; esecul (gasit=false) e tratat; ok dar justificarea e scurta
-1 C7: comentariile modificatorilor de acces sunt rare
-1 C8: regula de 3 completa la Artist si Melodie; Playlist are probleme minore cu copia profunda
-2 C9: meniu are 7 optiuni inclusiv dynamic_cast; dar operatiile specifice tipului derivat sunt putine
Proiect rescris fata de evaluarea initiala — ARE ierarhie de 3 niveluri (Persoana→Utilizator→CreatorContinut) si dynamic_cast cu justificare. Penalizat pentru lipsa compunerii has-a clare si demonstrarea incompleta a ordinii constructorilor.</t>
  </si>
  <si>
    <t>Ce diferenta este intre `Playlist* playlisturi` (pointer) si `Playlist playlist` (obiect direct) ca date membre?</t>
  </si>
  <si>
    <t>Obiect direct (has-a compunere): durata de viata legata de obiectul gazda; construit automat in lista de initializare; memoria e parte din obiectul gazda. Pointer: durata independenta; necesita new/delete manual; obiectul pointat poate fi null sau poate outlive gazda. Cerinta P2 vizeza obiect direct (compunere), nu pointer.</t>
  </si>
  <si>
    <t>De ce `new UtilizatorFree(...)` fara a salva rezultatul este valid in contextul vostru?</t>
  </si>
  <si>
    <t>Este valid deoarece constructorul lui Utilizator (si derivatele) adauga `this` in `listaUtilizatori` (tablou static). Astfel obiectul e accesibil ulterior prin tabloul static. Totusi e o practica riscanta: daca constructorul da exceptie, memoria e pierduta. In cod de productie se pastreaza intotdeauna pointerul returnat.</t>
  </si>
  <si>
    <t>Pencea Tudor-Florian</t>
  </si>
  <si>
    <t>Piata de Capital – InstrumentFinanciar(abs)/Actiune/ActiuneBonus/ActiuneElita(final) + ProfilRisc(HAS-A)</t>
  </si>
  <si>
    <t>+5p: +5: 'final' pe ActiuneElita cu justificare in comentarii (cerinta bonus)</t>
  </si>
  <si>
    <t>DEDUCERI:
-1 C2: demonstratia ordinii constructie (ProfilRisc inainte de ActiuneBonus) nu are mesaj explicit cout
-1 C4: nu toate apelurile demonstreaza clar late binding cu tipuri diferite in output
-1 C9: stergerea instrumentelor din tablou nu e implementata complet in meniu
Proiect excelent cu 4 niveluri. 'final' pe ActiuneElita (bonus). ProfilRisc ca HAS-A in ActiuneBonus initializat in lista. dynamic_cast&lt;ActiuneElita*&gt; cu nullptr verificat si justificat explicit. Meniu CRUD cu submeniuri per tip.</t>
  </si>
  <si>
    <t>Ce garanteaza `final` pe o clasa si de ce il aplicati pe ActiuneElita si nu pe ActiuneBonus?</t>
  </si>
  <si>
    <t>`final` pe ActiuneElita garanteaza ca nimeni nu poate extinde ierarhia mai departe. O 'ActiuneElita' e deja cea mai specializata forma de actiune — o derivata 'ActiuneUltra-Elita' n-ar mai avea sens semantic. ActiuneBonus nu e finala deoarece ActiuneElita o extinde legitim cu volatilitate si capitalizare bursiera.</t>
  </si>
  <si>
    <t>Cum functioneaza `calculeazaValoare()` override in ierarhia voastra si ce este late binding?</t>
  </si>
  <si>
    <t>La `instrumente[i]-&gt;calculeazaValoare()`, compilatorul nu stie la compilare daca obiectul e Actiune, ActiuneBonus sau ActiuneElita. Prin vtable, la runtime se apeleaza implementarea corecta din tipul real. Actiune calculeaza pretul simplu, ActiuneBonus adauga garantia de pret, ActiuneElita tine cont si de volatilitate — acelasi apel, comportamente diferite.</t>
  </si>
  <si>
    <t>Samman Fady</t>
  </si>
  <si>
    <t>Centru Meditatii – Persoana(abs)/Angajat/Profesor/ProfesorSpecializat + Sedinta HAS-A Data</t>
  </si>
  <si>
    <t>+5p: +5: typeid folosit in meniu pentru inspectia tipului real (cerinta bonus)</t>
  </si>
  <si>
    <t>DEDUCERI:
-2 C2: Sedinta HAS-A Data e compunere directa OK; dar Data nu e initializata explicit prin lista (se foloseste operator= in constructor, nu lista init) — cerinta spune 'initializata prin lista de initializare'
-1 C4: demonstrarea late binding ar fi mai explicita cu output diferentiat pe tipuri
-1 C5: ordinea destructorilor nu e demonstrata sistematic cu mesaje la toate nivelurile
-1 C6: justificarea dynamic_cast vs static_cast e succinta
Proiect bine organizat cu 4 niveluri. typeid bonus. Meniu cu 16 optiuni. Persoana cu 2 pur virtuale. Penalizare C2 pentru initializarea Datei prin operator= in loc de lista de initializare.</t>
  </si>
  <si>
    <t>De ce este initializarea prin lista preferata fata de atribuire in corpul constructorului?</t>
  </si>
  <si>
    <t>Lista de initializare: membrul se construieste DIRECT cu valoarea dorita (un singur apel de constructor). Atribuire in corp: mai intai se apeleaza constructorul default al membrului, apoi operator= — doua operatii in loc de una. Pentru const si referinte, atribuirea in corp e IMPOSIBILA (acestea trebuie initializate in lista). Eficienta si corectitudine sunt motivele principale.</t>
  </si>
  <si>
    <t>Ce diferenta e intre `typeid(*ptr).name()` si `dynamic_cast`?</t>
  </si>
  <si>
    <t>`typeid` returneaza tipul real ca string (pentru log/debug), nu face conversie. `dynamic_cast` face conversia si returneaza pointer/referinta la tipul derivat. De ex: `typeid(*p).name()` poate returna 'ProfesorSpecializat', dar nu iti da acces la metodele specifice. `dynamic_cast&lt;ProfesorSpecializat*&gt;(p)` iti da un pointer utilizabil pentru apeluri specifice.</t>
  </si>
  <si>
    <t>Sosoi Gabriel</t>
  </si>
  <si>
    <t>Artisto Streaming – Utilizator(abs)/UtilizatorFree + UtilizatorPremium/UtilizatorStudent + Playlist HAS-A Data</t>
  </si>
  <si>
    <t>DEDUCERI:
-1 C9: operatii specifice tipului derivat dupa downcast ar putea fi mai extinse (doar schimbaUniversitatea accesibila dupa dynamic_cast)
NOTA CORECTATA (anterior 1/100 — eroare de evaluare, ierarhia fusese omisa). Proiect excelent: 3 niveluri, 4 pur virtuale in Utilizator, Playlist HAS-A Data initializata in lista, tablou Utilizator** cu late binding explicit comentat, dynamic_cast&lt;UtilizatorStudent&amp;&gt; cu try-catch bad_cast justificat. Custom strLen/strCpy fara STL.</t>
  </si>
  <si>
    <t>De ce ati ales dynamic_cast cu referinta (UtilizatorStudent&amp;) si nu cu pointer?</t>
  </si>
  <si>
    <t>Cu referinta, la esec se arunca std::bad_cast — fortand tratarea erorilor prin try-catch. Cu pointer, la esec se returneaza nullptr — necesita if. In contextul loginului, daca utilizatorul curent nu e Student si incearca actiunea student, vrem o eroare explicita (exceptie), nu o verificare silentioasa. Alegerea reflecta intentia: actiunea sau exceptie.</t>
  </si>
  <si>
    <t>Cum functioneaza tabloul `Utilizator** listaUtilizatori` ca structura polimorfica?</t>
  </si>
  <si>
    <t>Tabloul contine pointeri la Utilizator (baza abstracta), dar obiectele reale sunt UtilizatorFree, UtilizatorPremium sau UtilizatorStudent. La `*(listaUtilizatori[i])`, compilatorul apeleaza afisareUtilizator() prin vtable — fiecare tip afiseaza informatiile sale specifice. Adaugarea in tablou se face la constructia fiecarui obiect prin `this`, realizand upcasting implicit.</t>
  </si>
  <si>
    <t>Tudorache Dumitru-Robert</t>
  </si>
  <si>
    <t>Cloud Computing – ResursaCloud(abs)/Server/ServerDedicat+ServerVirtual + MasinaVirtuala + IP(compunere indirecta)</t>
  </si>
  <si>
    <t>DEDUCERI:
-1 C1: mesajele de constructie/destructie nu sunt sistematice la toate nivelurile ierarhiei
-3 C2: Server nu contine IP ca data membra directa — IP e o clasa separata folosita prin operatii, nu prin compunere has-a in constructor cu initializare in lista
-2 C4: demonstrarea late binding ar fi mai clara cu tablou ResursaCloud* si output diferentiat vizibil
-1 C5: studentul admite AI pentru meniu; ordinea destructorilor nu e demonstrata sistematic
-2 C6: dynamic_cast folosit, nullptr verificat; justificarea vs static_cast e partiala
-2 C8: operatori din P1 limitati; clang-format e ok dar nu compenseaza
Proiect cu comentarii excelente si structura buna. ResursaCloud abstracta cu 2 pur virtuale documentata impecabil. Server nu contine IP direct — penalizare C2. Studentul transparent despre AI la meniu.</t>
  </si>
  <si>
    <t>De ce este `explicit` pe constructorul Server si ce previne?</t>
  </si>
  <si>
    <t>`explicit` previne conversia implicita de tip. Fara el, compilatorul ar putea converti automat un `const char*` sau un `double` la `Server` intr-un context neasteptat (ex: la o functie care asteapta Server, pasand un string direct). Cu `explicit`, conversia trebuie sa fie intotdeauna scrisa explicit de programator — cod mai clar si mai sigur.</t>
  </si>
  <si>
    <t>Ce este Undefined Behaviour in OOP si cum il evitati in proiect?</t>
  </si>
  <si>
    <t>UB apare la: delete fara destructor virtual, static_cast gresit, access dupa delete, const_cast pe obiect const. Evitam cu: destructor virtual pe ResursaCloud, dynamic_cast in loc de static_cast, nullptr check dupa delete, gestionare corecta a memoriei in rule of 3. UB e periculos deoarece poate parea ca merge pe un compilator/OS si crapa pe altul.</t>
  </si>
  <si>
    <t>Bilous Vlad-Andrei</t>
  </si>
  <si>
    <t>Platforma Media – mediaItem(abs)/Melodie/Remastered + Podcast + DataLansare(HAS-A directa)</t>
  </si>
  <si>
    <t>DEDUCERI:
-1 C1: demonstrarea ordinii constructie/destructie la 3 niveluri ar fi mai clara cu un test explicit
-1 C6: dynamic_cast cu Melodie* si Podcast* verificat si justificat; esecul (if nullptr) tratat; -1 pentru ca justificarea in comentariu e pe 3 linii dar nu mentioneaza explicit UB-ul static_cast
-2 C9: operatii specifice tipului derivat dupa downcast putine in meniu; Play/Details se fac generic
Proiect solid. DataLansare ca HAS-A in Melodie initializata in lista — demonstratie excelenta a ordinii constructie. 3 pur virtuale. dynamic_cast cu 2 tipuri. Tratare exceptii (std::invalid_argument). Cod in engleza structurat.</t>
  </si>
  <si>
    <t>Cum demonstrati ca DataLansare se construieste INAINTE de corpul constructorului Melodie?</t>
  </si>
  <si>
    <t>Prin mesajele din constructori: `[+] Constructor (DataLansare) apelat.` apare inainte de `[+] Constructor Melodie called for: ...`. Aceasta demonstratie vizibila in output confirma ca lista de initializare construieste membrii (inclusiv DataLansare) inainte de executia corpului {} al constructorului gazdei.</t>
  </si>
  <si>
    <t>Ce avantaj are tratarea exceptiilor (std::invalid_argument) in constructorul DataLansare fata de un if simplu?</t>
  </si>
  <si>
    <t>Exceptia forteaza codul apelant sa trateze eroarea — nu poate fi ignorata accidental. Un if simplu poate fi ignorat (programatorul uita sa verifice). Exceptia propaga eroarea automat prin stiva de apeluri pana la primul catch. De asemenea, exceptia e mai expresiva: comunica explicit ca datele invalide sunt o situatie exceptionala, nu un caz normal.</t>
  </si>
  <si>
    <t>Ciobanescu Diana-Nicoleta</t>
  </si>
  <si>
    <t>Cannolli the Cat Bakery – GUI SFML/SQLite – BakeryProduct(abs)/BakedGood/Cake+Pie + Diamond::Ingredient + DynamicArray&lt;T&gt;/Map&lt;K,V&gt; proprii</t>
  </si>
  <si>
    <t>+10p: +10: GUI SFML complet + SQLite + DynamicArray&lt;T&gt;/Map&lt;K,V&gt; proprii + mostenire diamant in Admin</t>
  </si>
  <si>
    <t>DEDUCERI:
-1 C1: mesajele de constructie nu sunt sistematice pe clasele principale ale jocului (Items, Player, Cities) ci doar pe BakeryProduct demo
-1 C3: BakeryProduct are bake()=0 si getFinalPrice()=0 — ok; dar nu e folosita integrat in gameplay; comentariul no-instantiate lipseste explicit
-3 C4: polimorfismul OOP e demonstrat intr-un modul separat (BakeryProduct demo), neintegrat in gameplay principal al jocului
-10 C6: dynamic_cast lipseste complet din intreg codul aplicatiei
-1 C7: comentariile modificatorilor de acces sunt rare si informale
-3 C9: fara meniu text CRUD interactiv standard (inlocuit cu GUI — bonus acordat partial)
Proiect exceptional tehnic. Joc adventure crafting GUI SFML, SQLite, DynamicArray&lt;T&gt;/Map&lt;K,V&gt; proprii (inlocuiesc STL). Mostenire diamant in BakeryDiamond.h demonstrata animat in Admin. BakedGood HAS-A BakeryIngredient init in lista. Lipsa totala dynamic_cast penalizata maxim.</t>
  </si>
  <si>
    <t>De ce aveti nevoie de un namespace (Diamond::) pentru ierarhia de ingrediente?</t>
  </si>
  <si>
    <t>Namespace-ul `Diamond` evita conflictele de nume cu clasa `BakeryIngredient` din spatiul global. Fara namespace, `class Ingredient` ar coliza cu alte definitii sau ar crea ambiguitate. Namespace-ul grupeaza ierarhia diamant ca un modul logic separat — clear ca e o demonstratie izolata, nu parte din logica principala a jocului.</t>
  </si>
  <si>
    <t>Cum demonstreaza runDiamondDemo() ordinea constructie/destructie in mostenirea diamant?</t>
  </si>
  <si>
    <t>Redirecteaza std::cout catre un buffer intern (cout.rdbuf(buffer.rdbuf())), creaza un SpecialIngredient in scope local, apeleaza use(), apoi iese din scope (destructie automata). Restaureaza cout si parseaza liniile din buffer. Output-ul: [Ingredient]→[DryIngredient]→[WetIngredient]→[SpecialIngredient] la constructie; invers la destructie — demonstratie vizuala a ordinii.</t>
  </si>
  <si>
    <t>Cojocariu Razvan-George</t>
  </si>
  <si>
    <t>Streaming Seriale – Productie(abs)/Serial/SerialAnimat + Episod + operator&lt;&lt; cu afisare polimorfica</t>
  </si>
  <si>
    <t>DEDUCERI:
-1 C1: mesajele de constructie/destructie nu sunt sistematice la toate nivelurile
-2 C2: Serial contine Episod** lista (tablou de pointeri), nu obiect Episod direct; initializarea nu e prin lista cu mesaje
-1 C3: Productie are 3 pur virtuale ok; comentariul no-instantiate e scurt
-1 C5: ordinea destructorilor nu e demonstrata explicit
-1 C7: comentariile modificatorilor de acces sunt rare
-1 C8: operator= al Serial foloseste dynamic_cast intern (interesant dar complexitate inutila)
Proiect bine structurat. Justificarea dynamic_cast cea mai completa din clasa (liniile 2159-2160). Serial/SerialAnimat 3 niveluri. dynamic_cast folosit si in copy constructor. Meniu CRUD cu submeniuri. Toate override-urile marcate.</t>
  </si>
  <si>
    <t>De ce ati ales sa folositi dynamic_cast in operatorul de copiere al clasei Serial?</t>
  </si>
  <si>
    <t>In copy constructor al lui Serial, tabloul catalog[] contine Productie* care pot fi Serial sau SerialAnimat. La copiere, trebuie sa cream obiectul cu tipul corect (new SerialAnimat vs new Serial). dynamic_cast verifica tipul real si ramurile if/else creeaza copia corecta. static_cast ar fi fortat un tip si ar fi copiat gresit obiectele SerialAnimat.</t>
  </si>
  <si>
    <t>Ce este late binding si cum il demonstrati in afisareToti()?</t>
  </si>
  <si>
    <t>Late binding = apelul functiei se rezolva la runtime prin vtable, nu la compilare. In afisareToti(), iterati Productie* catalog[] si apelati afisareDetalii() — compilatorul nu stie daca e Serial sau SerialAnimat. La runtime, vtable-ul fiecarui obiect indica implementarea corecta. Demonstrabil prin outputul diferit: Serial afiseaza numar sezoane, SerialAnimat adauga rating varsta.</t>
  </si>
  <si>
    <t>Dendiu Denis-Cristian</t>
  </si>
  <si>
    <t>Dungeon Crawler GUI Raylib – Entity(abs)/Player(virtual)+Enemy(virtual)/Goblin+RedGoblin + Opponent(diamant Player+Enemy) + Game HAS-A Player</t>
  </si>
  <si>
    <t>+8p: +8: GUI Raylib functional + mostenire diamant Opponent(Player+Enemy) cu virtual public (2 cerinte bonus)</t>
  </si>
  <si>
    <t>DEDUCERI:
-1 C1: mesajele de constructie sunt partial prezente (Inamic Creat) dar nu sistematice pe 3 niveluri Entity→Enemy→Goblin
-2 C2: Game HAS-A Player ca data membra directa OK; dar initializarea Player in constructorul Game nu e prin lista de initializare explicita cu demonstratie de ordine
-1 C3: Entity are lowHPAlert()=0 si logType()=0 (2 pur virtuale ok); Enemy::~Enemy()=0 e pur virtual dar are implementare inline — caz special valid; fara comentariu no-instantiate
-3 C4: polimorfismul prin Entity* nu e demonstrat explicit cu tablou si late binding vizibil in output — gameplay-ul foloseste tipuri concrete direct
-1 C5: Game gestioneaza Player direct (nu prin new/delete), corecta dar nu demonstreaza explicit ordinea destructorilor
-3 C6: dynamic_cast&lt;RedGoblin*&gt; exista in window.cpp cu nullptr verificat si justificat vs static_cast; dar e un singur loc si justificarea e scurta
-1 C7: comentariile modificatorilor de acces rare
-2 C8: regula de 3 incompleta pentru Game; operatori prezenti pe Player/Enemy
-4 C9: fara meniu text CRUD interactiv — inlocuit cu gameplay (bonus acordat partial)
Proiect rescris fata de evaluarea initiala — ARE mostenire diamant (Opponent: virtual public Player + virtual public Enemy) si 3 niveluri Entity→Enemy→Goblin/RedGoblin. dynamic_cast&lt;RedGoblin*&gt; prezent in window.cpp. Bonus acordat pentru GUI Raylib + diamant.</t>
  </si>
  <si>
    <t>De ce mosteneste Enemy si Player `virtual public Entity` in loc de `public Entity`?</t>
  </si>
  <si>
    <t>Fara virtual: clasa Opponent ar contine 2 subobiecte Entity (unul din Player, unul din Enemy) — acces ambiguu la health, position. Cu `virtual public Entity`, exista un singur Entity partajat. Opponent poate accesa health/position fara ambiguitate. Constructorul Entity e apelat o singura data din Opponent.</t>
  </si>
  <si>
    <t>Ce este `inline Entity::~Entity() {}` si de ce e necesar desi destructorul e pur virtual?</t>
  </si>
  <si>
    <t>Destructorii pur virtuali sunt un caz special: chiar daca `= 0`, trebuie sa aiba implementare deoarece destructorii claselor derivate il apeleaza implicit la final (prin mecanismul de distrugere in lant). Fara implementare, linkerul da 'undefined reference'. Definitia inline e o solutie eleganta — pune implementarea (vida) direct in header.</t>
  </si>
  <si>
    <t>Dracopol Miruna-Elena</t>
  </si>
  <si>
    <t>Restaurant – Angajat(abs)/Ospatar/OspatarSef + Manager + Masa/MasaVIP + Ospatar HAS-A Ingrediente</t>
  </si>
  <si>
    <t>+5p: +5: typeid folosit in meniu pentru inspectia tipului real al angajatilor</t>
  </si>
  <si>
    <t>DEDUCERI:
-1 C4: demonstrarea late binding ar fi mai clara cu output diferentiat simultan pentru Ospatar/OspatarSef/Manager
-1 C6: justificarea dynamic_cast vs static_cast in comentarii e succinta (o propozitie)
Proiect excelent. 3 niveluri Angajat→Ospatar→OspatarSef + Angajat→Manager. kit_consumabile(Ingrediente) initializat in lista cu comentariu `// has-a initializat prin lista`. 2 pur virtuale. typeid bonus. Meniu CRUD complet.</t>
  </si>
  <si>
    <t>Ce face `prezinta() override` in OspatarSef cand apeleaza `Ospatar::prezinta()`?</t>
  </si>
  <si>
    <t>OspatarSef extinde comportamentul lui Ospatar in loc sa il inlocuiasca complet. Ospatar::prezinta() afiseaza informatiile de baza (salariu, mese), apoi OspatarSef adauga informatiile sale specifice (nr supervisati, bonus). Aceasta satisface cerinta `Baza::metoda()` pentru extindere si demonstreaza reutilizarea codului in ierarhii.</t>
  </si>
  <si>
    <t>Ce este o metoda statica si cum o folositi in Angajat::afiseazaToti()?</t>
  </si>
  <si>
    <t>O metoda statica apartine clasei, nu unui obiect specific. Poate fi apelata fara instanta: `Angajat::afiseazaToti(angajati, n)`. afiseazaToti() primeste un tablou de Angajat** si itereaza apeland afiseazaDetalii() pe fiecare — demonstrand late binding. Static e util deoarece nu are sens sa 'afisezi toti' prin un singur angajat.</t>
  </si>
  <si>
    <t>Mitrescu Luiza-Gabriela</t>
  </si>
  <si>
    <t>Restaurant – MenuItem(abs)/Dish/MainCourse + Table + Order (fara compunere has-a clara)</t>
  </si>
  <si>
    <t>DEDUCERI:
-2 C1: mesajele de constructie la nivel 3 (MainCourse) sunt prezente; dar ordinea explicita a 3 niveluri intr-un singur flux demonstrativ lipseste
-5 C2: Table si Order nu au compunere has-a cu un obiect de clasa custom; MenuItem/Dish/MainCourse nu contin obiecte directe de alte clase custom — lipsa totala compunere has-a
-1 C3: MenuItem are 2 pur virtuale (displayDetails, calculatePrice) ok; fara comentariu no-instantiate explicit
-2 C4: demonstrarea late binding e implicita prin showAllItems() — ar fi mai clara cu output diferentiat pe tipuri
-1 C5: ordinea destructorilor nu e demonstrata explicit
-2 C6: dynamic_cast&lt;MainCourse*&gt; in showSpicyMainCourses() cu nullptr verificat ok; justificarea vs static_cast lipseste
-1 C7: comentariile modificatorilor de acces putine
-1 C8: regula de 3 mai putin completa pentru MainCourse
-2 C9: meniu mai restrans; operatii specifice tipului derivat putine
Proiect functional cu 3 niveluri MenuItem→Dish→MainCourse. allItems static cu gestiune dinamica interesanta. Lipsa compunere has-a (penalizare majora -5). dynamic_cast in showSpicyMainCourses fara justificare explicita. Meniu functional.</t>
  </si>
  <si>
    <t>Ce diferenta exista intre membrul static `allItems` si un tablou global?</t>
  </si>
  <si>
    <t>Membrul static e legat de clasa: `MenuItem::allItems` — e incapsulat, accesat prin numele clasei, nu polueaza namespace global. Tabloul global e accesibil de oriunde fara prefix, greu de mentinut in proiecte mari. De asemenea, membrul static e initializat garantat la pornirea programului si are acces la membrii privati/protejati ai clasei.</t>
  </si>
  <si>
    <t>De ce este important sa apelati `clearItems()` la finalul programului si ce se intampla daca nu o faceti?</t>
  </si>
  <si>
    <t>clearItems() face delete pe fiecare MenuItem* din allItems, eliberand memoria heap. Fara ea, toate obiectele Dish si MainCourse alocate cu new raman in memorie pana la terminarea procesului — memory leak. Desi OS-ul elibereaza memoria la final, pentru aplicatii long-running sau librarii, leak-urile se acumuleaza si epuizeaza heap-ul.</t>
  </si>
  <si>
    <t>Moise Maria</t>
  </si>
  <si>
    <t>Spital – IGestiuneSpital(interfata pura)/FisaPacient/PacientUrgenta/PacientResuscitare + Diagnostic(HAS-A indirect)</t>
  </si>
  <si>
    <t>DEDUCERI:
-1 C1: mesajele de constructie nu sunt la toate nivelurile ierarhiei — lipsesc la FisaPacient si IGestiuneSpital
-3 C2: FisaPacient contine Diagnostic** listaDiagnostice (tablou de pointeri), nu obiect direct; initializarea nu e prin lista cu mesaje de ordine
-1 C4: demonstrarea late binding ar fi mai clara cu output diferentiat vizibil per tip derivat
Proiect excelent. IGestiuneSpital cu 5 pur virtuale — cea mai bogata interfata din clasa. Double dynamic_cast (PacientUrgenta + PacientResuscitare) in aceeasi bucla. Meniu CRUD complet. Exceptii out_of_range gestionate corect.</t>
  </si>
  <si>
    <t>Ce diferenta este intre o interfata (clasa abstracta pura) si o clasa abstracta obisnuita?</t>
  </si>
  <si>
    <t>Interfata pura (IGestiuneSpital): TOATE metodele pur virtuale, de regula fara date membre — defineste exclusiv un contract. Clasa abstracta obisnuita (FisaPacient): cel putin o pur virtuala, poate contine date membre si metode concrete reutilizabile. Interfata e mai rigida (nu ofera implementari), dar mai flexibila la multiple inheritance (o clasa poate implementa mai multe interfete).</t>
  </si>
  <si>
    <t>De ce faceti double dynamic_cast (PacientUrgenta si PacientResuscitare) in aceeasi bucla?</t>
  </si>
  <si>
    <t>Tabloul contine IGestiuneSpital* cu obiecte de tipuri diferite. PacientResuscitare e derivat din PacientUrgenta. Daca am face doar dynamic_cast&lt;PacientUrgenta*&gt;, un PacientResuscitare ar trece (e si el PacientUrgenta). Dynamic_cast mai specific (PacientResuscitare*) are prioritate — primul testat. Daca esueaza, incercam PacientUrgenta*. Ordinea conteaza: de la cel mai derivat la cel mai general.</t>
  </si>
  <si>
    <t>Nicolescu Radu-Mihai</t>
  </si>
  <si>
    <t>Pokemon Battle – Pokemon(abs)/Charmander/Charizard + Squirtle/Blastoise + PokemonStats(HAS-A directa)</t>
  </si>
  <si>
    <t>+5p: +5: clone() virtual pattern (Prototype) implementat corect pe toata ierarhia</t>
  </si>
  <si>
    <t>DEDUCERI:
-1 C1: 3 ramuri de ierarhie (Charmander/Squirtle/Bulbasaur) cu mesaje; dar demonstrarea ordinii constructie pe 3 niveluri (Pokemon→Charmander→Charizard) ar fi mai explicita
-3 C8: vector&lt;string&gt; STL folosit in Pokemon.type si in functia typeMultiplier (interzis explicit in cerinte)
-2 C9: vector&lt;string&gt; defTypes folosit in battle system — acelasi motiv
Proiect creativ si bine gandit. PokemonStats ca HAS-A cu mesaj 'PokemonStats construit'. 5 pur virtuale in Pokemon. clone() pattern (bonus). dynamic_cast cu 3 tipuri (Charizard, Venusaur, Blastoise) justificat. PENALIZARE: vector&lt;string&gt; STL interzis.</t>
  </si>
  <si>
    <t>Ce este pattern-ul Prototype (clone virtual) si de ce il folositi in loc de copy constructor direct?</t>
  </si>
  <si>
    <t>Clone() permite copierea polimorfica prin pointer la baza. Fara clone(), la `Pokemon* copy = new Pokemon(*ptr)` obtinem object slicing — se copiaza doar partea Pokemon, nu Charmander. Cu `virtual Pokemon* clone() const = 0` si `return new Charmander(*this)` in derivate, fiecare obiect se copiaza cu tipul sau real. Util pentru a copia echipe de Pokemon fara a stii tipurile concrete.</t>
  </si>
  <si>
    <t>De ce este `vector&lt;string&gt;` interzis in acest proiect si cum l-ati putea inlocui?</t>
  </si>
  <si>
    <t>Proiectul cere gestionarea manuala a colectiilor pentru a demonstra intelegerea new/delete/regula de 3. vector&lt;T&gt; ascunde alocarea si eliberarea. Inlocuire: `char** types; int typeCount;` cu deep copy in constructor/operator=/destructor. Sau un DynamicArray&lt;char*&gt; implementat manual similar cu cel din alte proiecte.</t>
  </si>
  <si>
    <t>Popescu Alexandra-Stefania</t>
  </si>
  <si>
    <t>Clinica Veterinara – Animal(abs)/Domestic/Caine+Pisica + Animal/Exotic/Papagal+Cameleon + FisaMedicala(HAS-A directa)</t>
  </si>
  <si>
    <t>+10: GUI Windows profesionist (Direct2D/DXGI/DWrite) + arhitectura multi-modul (GraphlyUI, GraphlyMath, GraphlyDB)</t>
  </si>
  <si>
    <t>DEDUCERI (REVIZUITE):
-2 C1: mesajele constructie/destructie nesistematice; STL masca vizibilitatea constructorilor
-2 C2: NodeSettings ca data membra directa — ok; dar demonstratia ordinii constructie lipseste
-2 C3: UIElement: Render() virtual concret (nu pur); OnInitialize()=0 singura pur virtuala; fara comentariu no-instantiate
-3 C4: polimorfismul real (map&lt;string,UIElementPtr&gt;) dar late binding greu identificabil explicit
-1 C5: smart pointers corecti tehnic dar nu demonstreaza explicit delete prin pointer la baza
-3 C6: dynamic_cast&lt;TextFieldHandle&gt; (pointer) cu try-catch bad_cast in TextField.cpp — esecul tratat; dar fara justificare explicita vs static_cast in comentarii
-1 C7: comentariile modificatorilor de acces rare
-2 C8: std::string, std::unordered_map, std::unique_ptr, std::shared_ptr folosite extensiv (STL interzis); Float&lt;N&gt;/FloatNxM&lt;N,M&gt; sunt clase template PROPRII cu operatori complet — credit acordat
-5 C9: fara meniu text CRUD interactiv
NOTA REVIZUITA: +4p fata de evaluarea anterioara.
C6: dynamic_cast confirmat in TextField.cpp — cast de la UIElement* la TextField* (TextFieldHandle) cu try-catch bad_cast. Esecul este tratat (arunca runtime_error). Credit partial acordat (-3 pentru lipsa justificarii explicite vs static_cast).
C8: Float&lt;N&gt; si FloatNxM&lt;N,M&gt; sunt clase template custom cu constructori multipli, operatori aritmetici complet implementati (+,-,*,/,+=,-=,*=,/=,[],=) — acestea NU sunt containere STL interzise, ci librarii matematice proprii. Credit suplimentar acordat. Penalizare ramane pentru std::unordered_map, std::string, smart pointers.</t>
  </si>
  <si>
    <t>Cum functioneaza `dynamic_cast&lt;TextFieldHandle&gt;(e.target)` in contextul event handler-ului si de ce folositi referinta (implicit) cu try-catch?</t>
  </si>
  <si>
    <t>e.target este un UIElement* (pointer la baza). TextFieldHandle = TextField* (pointer la derivata). dynamic_cast&lt;TextField*&gt;(e.target) verifica la runtime daca obiectul real este TextField. Deoarece se face cast la referinta (comportament de aruncare exceptie la esec) sau la pointer (nullptr la esec), iar codul foloseste try-catch(bad_cast), orice eveniment care ajunge la un non-TextField este prins si convertit in runtime_error. Fata de static_cast: static_cast ar forta conversia fara verificare — la un non-TextField ar accesa memorie invalida (UB).</t>
  </si>
  <si>
    <t>Ce sunt clasele template `Float&lt;N&gt;` si `FloatNxM&lt;N,M&gt;` si de ce reprezinta o implementare custom si nu utilizare STL?</t>
  </si>
  <si>
    <t>Float&lt;N&gt; si FloatNxM&lt;N,M&gt; sunt clase template proprii din modulul GraphlyMath, implementate cu constructori multipli, operatori aritmetici completi (+,-,*,/,+=,etc.), operator[], copy/move semantics. Ele INLOCUIESC tipuri matematice externe si reprezinta contributia proprie a studentului. Nu sunt containere STL (vector, list, map) — sunt tipuri de date matematice (vectori si matrici) pentru grafica 2D. Diferenta esentiala: STL interzis = containere generice de elemente; Float&lt;N&gt; = tip matematic specializat, echivalent unui GLSL vec2/vec3/vec4 implementat manual.</t>
  </si>
  <si>
    <t>Serbanoiu Luca-Stefan</t>
  </si>
  <si>
    <t>Festival Muzical – DocumentAcces(abs)/Bilet/BiletVIP(final) + Trupa + Lineup HAS-A DataEveniment + HAS-A Trupa headliner</t>
  </si>
  <si>
    <t>+5p: +5: 'final' pe BiletVIP cu justificare + DataEveniment ca HAS-A demonstrata elegant</t>
  </si>
  <si>
    <t>DEDUCERI:
-1 C4: demonstrarea late binding ar beneficia de output mai diferentiat intre Bilet si BiletVIP
Proiect excelent. 'final' pe BiletVIP (bonus). DataEveniment HAS-A in Lineup init in lista cu mesaje clare. dynamic_cast&lt;BiletVIP*&gt; justificat: 'dynamic_cast verifica la runtime tipul obiectului polimorfic'. Operatori extinsi pe Bilet SI Trupa. Meniu CRUD complet cu toate functionalitarile P2.</t>
  </si>
  <si>
    <t>Cum demonstrati ca DataEveniment se construieste inainte de corpul constructorului Lineup?</t>
  </si>
  <si>
    <t>Prin mesajele in output: 'Constructor DataEveniment apelat.' apare inainte de 'Constructor fara parametri Lineup apelat.' Aceasta ordine e garantata de C++ pentru membrii initializati in lista. DataEveniment headliner e si el initializat in lista (Lineup() : headliner()) — se construieste si el inainte de corpul {}.</t>
  </si>
  <si>
    <t>Ce avantaj tehnic ofera `BiletVIP final` compilatorului (devirtualizare)?</t>
  </si>
  <si>
    <t>Cand compilatorul stie ca o clasa e `final`, poate converti apelurile virtuale in apeluri directe (devirtualizare). In loc sa urmeze vtable la fiecare apel, genereaza codul mai eficient al apelului direct. De exemplu, `biletVip-&gt;getPretCalculat()` poate fi inlinat de compilator. Avantaj minim pentru aplicatii mici, dar semnificativ in cod intensiv.</t>
  </si>
  <si>
    <t>Stefan Alexandru-Mihai</t>
  </si>
  <si>
    <t>Graphly – Editor Grafuri GUI Windows Direct2D – UIElement(abs partial)/AssetElement/Image/SVGImage(final) + Button/Text/Rectangle/TextField(final)</t>
  </si>
  <si>
    <t>DEDUCERI (REVIZUITE — +4p fata de evaluarea anterioara):
-2 C1: mesajele constructie/destructie nesistematice; STL masca vizibilitatea
-2 C2: NodeSettings ca data membra directa OK; demonstratia ordinii constructie lipseste
-2 C3: UIElement: Render() virtual concret; OnInitialize()=0 singura pur virtuala; fara comentariu no-instantiate
-3 C4: polimorfismul real prin map&lt;string,UIElementPtr&gt; dar late binding greu identificabil explicit
-1 C5: smart pointers corecti tehnic; delete prin pointer la baza nu e demonstrat explicit
-3 C6: dynamic_cast&lt;TextFieldHandle&gt;(TextField*) cu try-catch bad_cast in TextField.cpp — esecul tratat corect; -3 pentru lipsa comentariului explicit de justificare vs static_cast
-1 C7: comentariile modificatorilor de acces rare
-2 C8: std::string, std::unordered_map, std::unique_ptr, std::shared_ptr — STL interzis; Float&lt;N&gt;/FloatNxM&lt;N,M&gt; sunt clase template PROPRII (librarie matematica custom) — credit acordat
-5 C9: fara meniu text CRUD interactiv (inlocuit cu GUI)
C6 CONFIRMAT: dynamic_cast&lt;TextFieldHandle&gt; = dynamic_cast&lt;TextField*&gt; pe UIElement* in TextField.cpp. Wrapped in try { ... } catch(const std::bad_cast&amp;) — esecul este prins si convertit in runtime_error. Aceasta este utilizarea corecta a dynamic_cast pe referinta (arunca bad_cast la esec). Minus 3p pentru ca nu exista un comentariu explicit care sa justifice alegerea vs static_cast.
C8 CLARIFICARE: Float&lt;N&gt; si FloatNxM&lt;N,M&gt; din GraphlyMath sunt CLASE TEMPLATE PROPRII cu constructori multipli (initializator list, array, move, copy), operatori aritmetici complet (+,-,*,/,+=,-=,*=,/=,[]), copy/move semantics. Acestea NU sunt containere STL — sunt tipuri matematice custom, echivalentul unui vec2/vec3/mat4 din GLSL/HLSL implementat manual. Credit acordat. Penalizare ramane pentru std::string, std::unordered_map, smart pointers (containere/tipuri STL).</t>
  </si>
  <si>
    <t>Cum functioneaza `dynamic_cast&lt;TextFieldHandle&gt;(e.target)` in TextField.cpp si de ce este esecul tratat cu try-catch si nu cu verificare nullptr?</t>
  </si>
  <si>
    <t>TextFieldHandle = TextField* (alias de pointer). e.target este UIElement* (pointer la baza). dynamic_cast&lt;TextField*&gt;(e.target) verifica la runtime prin vtable daca obiectul real este TextField. In cod se foloseste cast la pointer (nu referinta), deci esecul ar returna nullptr — insa codul wrapeaza intreaga operatie in try-catch(bad_cast), care prinde esecul si il converteste in std::runtime_error pentru propagare. Fata de static_cast: static_cast&lt;TextField*&gt;(e.target) forteaza conversia la compilare fara verificare runtime — daca e.target pointeaza la un Button sau Text, apelul textField-&gt;GetText() ar accesa memorie invalida (Undefined Behaviour).</t>
  </si>
  <si>
    <t>De ce clasele `Float&lt;N&gt;` si `FloatNxM&lt;N,M&gt;` din GraphlyMath nu incalca regula 'fara containere STL', si ce le diferentiaza de std::vector sau std::array?</t>
  </si>
  <si>
    <t>Regula interzice containerele STL generice pentru colectii de obiecte (std::vector, std::list, std::map). Float&lt;N&gt; si FloatNxM&lt;N,M&gt; sunt TIPURI MATEMATICE custom — echivalentul unui vec2/vec3/vec4 din GLSL sau XMFLOAT2/XMMATRIX din DirectXMath, implementate manual. Diferente: (1) Nu sunt containere generice — au semantica fixa (vector 2D, 3D, 4D; matrice NxM). (2) Implementeaza operatii matematice specifice (+,-,*,/ element-wise, dot product etc.) care nu exista in std::array sau std::vector. (3) Sunt necesare pentru grafica 2D (transformari, pozitii, culori) — o responsabilitate clara. std::array este folosit intern ca storage, dar Float&lt;N&gt; este o abstractizare matematica proprie.</t>
  </si>
  <si>
    <t>STATISTICI</t>
  </si>
  <si>
    <t>Media baza:</t>
  </si>
  <si>
    <t>Media finala:</t>
  </si>
  <si>
    <t>Max final:</t>
  </si>
  <si>
    <t>Min final:</t>
  </si>
  <si>
    <t>Nr studenti: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</si>
</sst>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4"/>
      <color rgb="FFFFFFFF"/>
      <name val="Arial"/>
    </font>
    <font>
      <i/>
      <sz val="10"/>
      <color rgb="FFFFFFFF"/>
      <name val="Arial"/>
    </font>
    <font>
      <b/>
      <sz val="9"/>
      <color rgb="FFFFFFFF"/>
      <name val="Arial"/>
    </font>
    <font>
      <b/>
      <sz val="10"/>
      <color rgb="FF000000"/>
      <name val="Arial"/>
    </font>
    <font>
      <sz val="10"/>
      <color rgb="FF000000"/>
      <name val="Arial"/>
    </font>
    <font>
      <b/>
      <sz val="10"/>
      <color rgb="FF006100"/>
      <name val="Arial"/>
    </font>
    <font>
      <b/>
      <sz val="10"/>
      <color rgb="FF4B0082"/>
      <name val="Arial"/>
    </font>
    <font>
      <b/>
      <sz val="10"/>
      <color rgb="FF9C0006"/>
      <name val="Arial"/>
    </font>
    <font>
      <sz val="10"/>
      <color rgb="FF888888"/>
      <name val="Arial"/>
    </font>
    <font>
      <b/>
      <sz val="10"/>
      <color rgb="FF7D4E00"/>
      <name val="Arial"/>
    </font>
    <font>
      <b/>
      <sz val="11"/>
      <color rgb="FFFFFFFF"/>
      <name val="Arial"/>
    </font>
    <font>
      <b/>
      <sz val="10"/>
      <name val="Arial"/>
    </font>
  </fonts>
  <fills count="12">
    <fill>
      <patternFill patternType="none"/>
    </fill>
    <fill>
      <patternFill patternType="gray125"/>
    </fill>
    <fill>
      <patternFill patternType="solid">
        <fgColor rgb="FF1F4E79"/>
      </patternFill>
    </fill>
    <fill>
      <patternFill patternType="solid">
        <fgColor rgb="FF2E75B6"/>
      </patternFill>
    </fill>
    <fill>
      <patternFill patternType="solid">
        <fgColor rgb="FF7030A0"/>
      </patternFill>
    </fill>
    <fill>
      <patternFill patternType="solid">
        <fgColor rgb="FF375623"/>
      </patternFill>
    </fill>
    <fill>
      <patternFill patternType="solid">
        <fgColor rgb="FFDEEAF1"/>
      </patternFill>
    </fill>
    <fill>
      <patternFill patternType="solid">
        <fgColor rgb="FFE2EFDA"/>
      </patternFill>
    </fill>
    <fill>
      <patternFill patternType="solid">
        <fgColor rgb="FFEDD9FF"/>
      </patternFill>
    </fill>
    <fill>
      <patternFill patternType="solid">
        <fgColor rgb="FFFFFFFF"/>
      </patternFill>
    </fill>
    <fill>
      <patternFill patternType="solid">
        <fgColor rgb="FFFFF2CC"/>
      </patternFill>
    </fill>
    <fill>
      <patternFill patternType="solid">
        <fgColor rgb="FFFFE0E0"/>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30">
    <xf numFmtId="0" fontId="0" fillId="0" borderId="0" xfId="0"/>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wrapText="1"/>
    </xf>
    <xf numFmtId="0" fontId="4" fillId="7" borderId="1" xfId="0" applyFont="1" applyFill="1" applyBorder="1" applyAlignment="1">
      <alignment horizontal="center" vertical="center"/>
    </xf>
    <xf numFmtId="0" fontId="6" fillId="7" borderId="1" xfId="0" applyFont="1" applyFill="1" applyBorder="1" applyAlignment="1">
      <alignment horizontal="center" vertical="center"/>
    </xf>
    <xf numFmtId="0" fontId="7" fillId="8"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9" borderId="1" xfId="0" applyFont="1" applyFill="1" applyBorder="1" applyAlignment="1">
      <alignment horizontal="center" vertical="center"/>
    </xf>
    <xf numFmtId="0" fontId="4" fillId="9" borderId="1" xfId="0" applyFont="1" applyFill="1" applyBorder="1" applyAlignment="1">
      <alignment horizontal="left" vertical="center"/>
    </xf>
    <xf numFmtId="0" fontId="5" fillId="9" borderId="1" xfId="0" applyFont="1" applyFill="1" applyBorder="1" applyAlignment="1">
      <alignment horizontal="center" vertical="center"/>
    </xf>
    <xf numFmtId="0" fontId="5" fillId="9" borderId="1" xfId="0" applyFont="1" applyFill="1" applyBorder="1" applyAlignment="1">
      <alignment horizontal="left" vertical="center" wrapText="1"/>
    </xf>
    <xf numFmtId="0" fontId="4" fillId="10" borderId="1" xfId="0" applyFont="1" applyFill="1" applyBorder="1" applyAlignment="1">
      <alignment horizontal="center" vertical="center"/>
    </xf>
    <xf numFmtId="0" fontId="4" fillId="9" borderId="1" xfId="0" applyFont="1" applyFill="1" applyBorder="1" applyAlignment="1">
      <alignment horizontal="left" vertical="center" wrapText="1"/>
    </xf>
    <xf numFmtId="0" fontId="4" fillId="11" borderId="1" xfId="0" applyFont="1" applyFill="1" applyBorder="1" applyAlignment="1">
      <alignment horizontal="center" vertical="center"/>
    </xf>
    <xf numFmtId="0" fontId="8" fillId="11" borderId="1" xfId="0" applyFont="1" applyFill="1" applyBorder="1" applyAlignment="1">
      <alignment horizontal="center" vertical="center"/>
    </xf>
    <xf numFmtId="0" fontId="9" fillId="9" borderId="1" xfId="0" applyFont="1" applyFill="1" applyBorder="1" applyAlignment="1">
      <alignment horizontal="left" vertical="center" wrapText="1"/>
    </xf>
    <xf numFmtId="0" fontId="10" fillId="10"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0" borderId="1" xfId="0" applyFont="1" applyBorder="1"/>
    <xf numFmtId="2" fontId="12" fillId="0" borderId="1" xfId="0" applyNumberFormat="1" applyFont="1" applyBorder="1"/>
    <xf numFmtId="0" fontId="5" fillId="6"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8"/>
  <sheetViews>
    <sheetView tabSelected="1" workbookViewId="0">
      <pane xSplit="4" ySplit="3" topLeftCell="E4" activePane="bottomRight" state="frozen"/>
      <selection pane="bottomRight"/>
      <selection pane="bottomLeft"/>
      <selection pane="topRight"/>
    </sheetView>
  </sheetViews>
  <sheetFormatPr defaultRowHeight="15"/>
  <cols>
    <col min="1" max="1" width="5" customWidth="1"/>
    <col min="2" max="2" width="22" customWidth="1"/>
    <col min="3" max="3" width="7" customWidth="1"/>
    <col min="4" max="4" width="32" customWidth="1"/>
    <col min="5" max="10" width="8" customWidth="1"/>
    <col min="11" max="11" width="7" customWidth="1"/>
    <col min="12" max="15" width="8" customWidth="1"/>
    <col min="16" max="16" width="30" customWidth="1"/>
    <col min="17" max="17" width="60" customWidth="1"/>
    <col min="18" max="18" width="42" customWidth="1"/>
    <col min="19" max="19" width="58" customWidth="1"/>
    <col min="20" max="20" width="42" customWidth="1"/>
    <col min="21" max="21" width="58" customWidth="1"/>
    <col min="22" max="22" width="42" customWidth="1"/>
    <col min="23" max="23" width="62" customWidth="1"/>
    <col min="24" max="24" width="42" customWidth="1"/>
    <col min="25" max="25" width="62" customWidth="1"/>
    <col min="26" max="26" width="42" customWidth="1"/>
    <col min="27" max="27" width="62" customWidth="1"/>
  </cols>
  <sheetData>
    <row r="1" spans="1:27" ht="30" customHeight="1">
      <c r="A1" s="27" t="s">
        <v>0</v>
      </c>
      <c r="B1" s="29"/>
      <c r="C1" s="29"/>
      <c r="D1" s="29"/>
      <c r="E1" s="29"/>
      <c r="F1" s="29"/>
      <c r="G1" s="29"/>
      <c r="H1" s="29"/>
      <c r="I1" s="29"/>
      <c r="J1" s="29"/>
      <c r="K1" s="29"/>
      <c r="L1" s="29"/>
      <c r="M1" s="29"/>
      <c r="N1" s="29"/>
      <c r="O1" s="29"/>
      <c r="P1" s="29"/>
      <c r="Q1" s="29"/>
      <c r="R1" s="29"/>
      <c r="S1" s="29"/>
      <c r="T1" s="29"/>
      <c r="U1" s="29"/>
      <c r="V1" s="29"/>
      <c r="W1" s="29"/>
      <c r="X1" s="29"/>
      <c r="Y1" s="29"/>
      <c r="Z1" s="29"/>
      <c r="AA1" s="29"/>
    </row>
    <row r="2" spans="1:27" ht="18" customHeight="1">
      <c r="A2" s="28" t="s">
        <v>1</v>
      </c>
      <c r="B2" s="29"/>
      <c r="C2" s="29"/>
      <c r="D2" s="29"/>
      <c r="E2" s="29"/>
      <c r="F2" s="29"/>
      <c r="G2" s="29"/>
      <c r="H2" s="29"/>
      <c r="I2" s="29"/>
      <c r="J2" s="29"/>
      <c r="K2" s="29"/>
      <c r="L2" s="29"/>
      <c r="M2" s="29"/>
      <c r="N2" s="29"/>
      <c r="O2" s="29"/>
      <c r="P2" s="29"/>
      <c r="Q2" s="29"/>
      <c r="R2" s="29"/>
      <c r="S2" s="29"/>
      <c r="T2" s="29"/>
      <c r="U2" s="29"/>
      <c r="V2" s="29"/>
      <c r="W2" s="29"/>
      <c r="X2" s="29"/>
      <c r="Y2" s="29"/>
      <c r="Z2" s="29"/>
      <c r="AA2" s="29"/>
    </row>
    <row r="3" spans="1:27" ht="54.95" customHeight="1">
      <c r="A3" s="1" t="s">
        <v>2</v>
      </c>
      <c r="B3" s="1" t="s">
        <v>3</v>
      </c>
      <c r="C3" s="1" t="s">
        <v>4</v>
      </c>
      <c r="D3" s="1" t="s">
        <v>5</v>
      </c>
      <c r="E3" s="1" t="s">
        <v>6</v>
      </c>
      <c r="F3" s="1" t="s">
        <v>7</v>
      </c>
      <c r="G3" s="1" t="s">
        <v>8</v>
      </c>
      <c r="H3" s="1" t="s">
        <v>9</v>
      </c>
      <c r="I3" s="1" t="s">
        <v>10</v>
      </c>
      <c r="J3" s="1" t="s">
        <v>11</v>
      </c>
      <c r="K3" s="1" t="s">
        <v>12</v>
      </c>
      <c r="L3" s="1" t="s">
        <v>13</v>
      </c>
      <c r="M3" s="1" t="s">
        <v>14</v>
      </c>
      <c r="N3" s="1" t="s">
        <v>15</v>
      </c>
      <c r="O3" s="2" t="s">
        <v>16</v>
      </c>
      <c r="P3" s="2" t="s">
        <v>17</v>
      </c>
      <c r="Q3" s="1" t="s">
        <v>18</v>
      </c>
      <c r="R3" s="1" t="s">
        <v>19</v>
      </c>
      <c r="S3" s="1" t="s">
        <v>20</v>
      </c>
      <c r="T3" s="1" t="s">
        <v>21</v>
      </c>
      <c r="U3" s="1" t="s">
        <v>22</v>
      </c>
      <c r="V3" s="3" t="s">
        <v>23</v>
      </c>
      <c r="W3" s="3" t="s">
        <v>24</v>
      </c>
      <c r="X3" s="3" t="s">
        <v>25</v>
      </c>
      <c r="Y3" s="3" t="s">
        <v>26</v>
      </c>
      <c r="Z3" s="3" t="s">
        <v>27</v>
      </c>
      <c r="AA3" s="3" t="s">
        <v>28</v>
      </c>
    </row>
    <row r="4" spans="1:27" ht="129.94999999999999" customHeight="1">
      <c r="A4" s="4">
        <v>1</v>
      </c>
      <c r="B4" s="5" t="s">
        <v>29</v>
      </c>
      <c r="C4" s="6">
        <v>141</v>
      </c>
      <c r="D4" s="7" t="s">
        <v>30</v>
      </c>
      <c r="E4" s="8">
        <v>15</v>
      </c>
      <c r="F4" s="8">
        <v>10</v>
      </c>
      <c r="G4" s="8">
        <v>15</v>
      </c>
      <c r="H4" s="8">
        <v>15</v>
      </c>
      <c r="I4" s="8">
        <v>10</v>
      </c>
      <c r="J4" s="8">
        <v>10</v>
      </c>
      <c r="K4" s="8">
        <v>5</v>
      </c>
      <c r="L4" s="8">
        <v>10</v>
      </c>
      <c r="M4" s="8">
        <v>10</v>
      </c>
      <c r="N4" s="8">
        <v>100</v>
      </c>
      <c r="O4" s="9">
        <v>110</v>
      </c>
      <c r="P4" s="10" t="s">
        <v>31</v>
      </c>
      <c r="Q4" s="7" t="s">
        <v>32</v>
      </c>
      <c r="R4" s="11" t="s">
        <v>33</v>
      </c>
      <c r="S4" s="7" t="s">
        <v>34</v>
      </c>
      <c r="T4" s="11" t="s">
        <v>35</v>
      </c>
      <c r="U4" s="7" t="s">
        <v>36</v>
      </c>
      <c r="V4" s="25" t="s">
        <v>37</v>
      </c>
      <c r="W4" s="25" t="s">
        <v>38</v>
      </c>
      <c r="X4" s="25" t="s">
        <v>39</v>
      </c>
      <c r="Y4" s="25" t="s">
        <v>40</v>
      </c>
      <c r="Z4" s="25" t="s">
        <v>41</v>
      </c>
      <c r="AA4" s="25" t="s">
        <v>42</v>
      </c>
    </row>
    <row r="5" spans="1:27" ht="129.94999999999999" customHeight="1">
      <c r="A5" s="12">
        <v>2</v>
      </c>
      <c r="B5" s="13" t="s">
        <v>43</v>
      </c>
      <c r="C5" s="14">
        <v>141</v>
      </c>
      <c r="D5" s="15" t="s">
        <v>44</v>
      </c>
      <c r="E5" s="8">
        <v>15</v>
      </c>
      <c r="F5" s="16">
        <v>9</v>
      </c>
      <c r="G5" s="16">
        <v>13</v>
      </c>
      <c r="H5" s="16">
        <v>13</v>
      </c>
      <c r="I5" s="8">
        <v>10</v>
      </c>
      <c r="J5" s="16">
        <v>7</v>
      </c>
      <c r="K5" s="8">
        <v>5</v>
      </c>
      <c r="L5" s="16">
        <v>9</v>
      </c>
      <c r="M5" s="16">
        <v>7</v>
      </c>
      <c r="N5" s="16">
        <v>88</v>
      </c>
      <c r="O5" s="9">
        <v>98</v>
      </c>
      <c r="P5" s="10" t="s">
        <v>45</v>
      </c>
      <c r="Q5" s="15" t="s">
        <v>46</v>
      </c>
      <c r="R5" s="17" t="s">
        <v>47</v>
      </c>
      <c r="S5" s="15" t="s">
        <v>48</v>
      </c>
      <c r="T5" s="17" t="s">
        <v>49</v>
      </c>
      <c r="U5" s="15" t="s">
        <v>50</v>
      </c>
      <c r="V5" s="26" t="s">
        <v>37</v>
      </c>
      <c r="W5" s="26" t="s">
        <v>38</v>
      </c>
      <c r="X5" s="26" t="s">
        <v>39</v>
      </c>
      <c r="Y5" s="26" t="s">
        <v>40</v>
      </c>
      <c r="Z5" s="26" t="s">
        <v>41</v>
      </c>
      <c r="AA5" s="26" t="s">
        <v>42</v>
      </c>
    </row>
    <row r="6" spans="1:27" ht="129.94999999999999" customHeight="1">
      <c r="A6" s="4">
        <v>3</v>
      </c>
      <c r="B6" s="5" t="s">
        <v>51</v>
      </c>
      <c r="C6" s="6">
        <v>141</v>
      </c>
      <c r="D6" s="7" t="s">
        <v>52</v>
      </c>
      <c r="E6" s="18">
        <v>0</v>
      </c>
      <c r="F6" s="18">
        <v>0</v>
      </c>
      <c r="G6" s="18">
        <v>0</v>
      </c>
      <c r="H6" s="18">
        <v>0</v>
      </c>
      <c r="I6" s="18">
        <v>0</v>
      </c>
      <c r="J6" s="18">
        <v>0</v>
      </c>
      <c r="K6" s="18">
        <v>0</v>
      </c>
      <c r="L6" s="18">
        <v>0</v>
      </c>
      <c r="M6" s="18">
        <v>0</v>
      </c>
      <c r="N6" s="18">
        <v>0</v>
      </c>
      <c r="O6" s="19">
        <v>0</v>
      </c>
      <c r="P6" s="20" t="s">
        <v>53</v>
      </c>
      <c r="Q6" s="7" t="s">
        <v>54</v>
      </c>
      <c r="R6" s="11" t="s">
        <v>55</v>
      </c>
      <c r="S6" s="7" t="s">
        <v>56</v>
      </c>
      <c r="T6" s="11" t="s">
        <v>57</v>
      </c>
      <c r="U6" s="7" t="s">
        <v>58</v>
      </c>
      <c r="V6" s="25" t="s">
        <v>37</v>
      </c>
      <c r="W6" s="25" t="s">
        <v>38</v>
      </c>
      <c r="X6" s="25" t="s">
        <v>39</v>
      </c>
      <c r="Y6" s="25" t="s">
        <v>40</v>
      </c>
      <c r="Z6" s="25" t="s">
        <v>41</v>
      </c>
      <c r="AA6" s="25" t="s">
        <v>42</v>
      </c>
    </row>
    <row r="7" spans="1:27" ht="129.94999999999999" customHeight="1">
      <c r="A7" s="12">
        <v>4</v>
      </c>
      <c r="B7" s="13" t="s">
        <v>59</v>
      </c>
      <c r="C7" s="14">
        <v>141</v>
      </c>
      <c r="D7" s="15" t="s">
        <v>60</v>
      </c>
      <c r="E7" s="8">
        <v>15</v>
      </c>
      <c r="F7" s="8">
        <v>10</v>
      </c>
      <c r="G7" s="8">
        <v>15</v>
      </c>
      <c r="H7" s="8">
        <v>15</v>
      </c>
      <c r="I7" s="8">
        <v>10</v>
      </c>
      <c r="J7" s="8">
        <v>10</v>
      </c>
      <c r="K7" s="8">
        <v>5</v>
      </c>
      <c r="L7" s="8">
        <v>10</v>
      </c>
      <c r="M7" s="8">
        <v>10</v>
      </c>
      <c r="N7" s="8">
        <v>100</v>
      </c>
      <c r="O7" s="9">
        <v>100</v>
      </c>
      <c r="P7" s="20" t="s">
        <v>53</v>
      </c>
      <c r="Q7" s="15" t="s">
        <v>61</v>
      </c>
      <c r="R7" s="17" t="s">
        <v>62</v>
      </c>
      <c r="S7" s="15" t="s">
        <v>63</v>
      </c>
      <c r="T7" s="17" t="s">
        <v>64</v>
      </c>
      <c r="U7" s="15" t="s">
        <v>65</v>
      </c>
      <c r="V7" s="26" t="s">
        <v>37</v>
      </c>
      <c r="W7" s="26" t="s">
        <v>38</v>
      </c>
      <c r="X7" s="26" t="s">
        <v>39</v>
      </c>
      <c r="Y7" s="26" t="s">
        <v>40</v>
      </c>
      <c r="Z7" s="26" t="s">
        <v>41</v>
      </c>
      <c r="AA7" s="26" t="s">
        <v>42</v>
      </c>
    </row>
    <row r="8" spans="1:27" ht="129.94999999999999" customHeight="1">
      <c r="A8" s="4">
        <v>5</v>
      </c>
      <c r="B8" s="5" t="s">
        <v>66</v>
      </c>
      <c r="C8" s="6">
        <v>141</v>
      </c>
      <c r="D8" s="7" t="s">
        <v>67</v>
      </c>
      <c r="E8" s="8">
        <v>15</v>
      </c>
      <c r="F8" s="16">
        <v>8</v>
      </c>
      <c r="G8" s="8">
        <v>15</v>
      </c>
      <c r="H8" s="16">
        <v>14</v>
      </c>
      <c r="I8" s="8">
        <v>10</v>
      </c>
      <c r="J8" s="16">
        <v>9</v>
      </c>
      <c r="K8" s="8">
        <v>5</v>
      </c>
      <c r="L8" s="8">
        <v>10</v>
      </c>
      <c r="M8" s="16">
        <v>9</v>
      </c>
      <c r="N8" s="8">
        <v>95</v>
      </c>
      <c r="O8" s="9">
        <v>95</v>
      </c>
      <c r="P8" s="20" t="s">
        <v>53</v>
      </c>
      <c r="Q8" s="7" t="s">
        <v>68</v>
      </c>
      <c r="R8" s="11" t="s">
        <v>69</v>
      </c>
      <c r="S8" s="7" t="s">
        <v>70</v>
      </c>
      <c r="T8" s="11" t="s">
        <v>71</v>
      </c>
      <c r="U8" s="7" t="s">
        <v>72</v>
      </c>
      <c r="V8" s="25" t="s">
        <v>37</v>
      </c>
      <c r="W8" s="25" t="s">
        <v>38</v>
      </c>
      <c r="X8" s="25" t="s">
        <v>39</v>
      </c>
      <c r="Y8" s="25" t="s">
        <v>40</v>
      </c>
      <c r="Z8" s="25" t="s">
        <v>41</v>
      </c>
      <c r="AA8" s="25" t="s">
        <v>42</v>
      </c>
    </row>
    <row r="9" spans="1:27" ht="129.94999999999999" customHeight="1">
      <c r="A9" s="12">
        <v>6</v>
      </c>
      <c r="B9" s="13" t="s">
        <v>73</v>
      </c>
      <c r="C9" s="14">
        <v>141</v>
      </c>
      <c r="D9" s="15" t="s">
        <v>74</v>
      </c>
      <c r="E9" s="16">
        <v>14</v>
      </c>
      <c r="F9" s="8">
        <v>10</v>
      </c>
      <c r="G9" s="16">
        <v>13</v>
      </c>
      <c r="H9" s="16">
        <v>13</v>
      </c>
      <c r="I9" s="16">
        <v>9</v>
      </c>
      <c r="J9" s="16">
        <v>9</v>
      </c>
      <c r="K9" s="8">
        <v>5</v>
      </c>
      <c r="L9" s="8">
        <v>10</v>
      </c>
      <c r="M9" s="16">
        <v>9</v>
      </c>
      <c r="N9" s="8">
        <v>92</v>
      </c>
      <c r="O9" s="9">
        <v>92</v>
      </c>
      <c r="P9" s="20" t="s">
        <v>53</v>
      </c>
      <c r="Q9" s="15" t="s">
        <v>75</v>
      </c>
      <c r="R9" s="17" t="s">
        <v>76</v>
      </c>
      <c r="S9" s="15" t="s">
        <v>77</v>
      </c>
      <c r="T9" s="17" t="s">
        <v>78</v>
      </c>
      <c r="U9" s="15" t="s">
        <v>79</v>
      </c>
      <c r="V9" s="26" t="s">
        <v>37</v>
      </c>
      <c r="W9" s="26" t="s">
        <v>38</v>
      </c>
      <c r="X9" s="26" t="s">
        <v>39</v>
      </c>
      <c r="Y9" s="26" t="s">
        <v>40</v>
      </c>
      <c r="Z9" s="26" t="s">
        <v>41</v>
      </c>
      <c r="AA9" s="26" t="s">
        <v>42</v>
      </c>
    </row>
    <row r="10" spans="1:27" ht="129.94999999999999" customHeight="1">
      <c r="A10" s="4">
        <v>7</v>
      </c>
      <c r="B10" s="5" t="s">
        <v>80</v>
      </c>
      <c r="C10" s="6">
        <v>141</v>
      </c>
      <c r="D10" s="7" t="s">
        <v>81</v>
      </c>
      <c r="E10" s="8">
        <v>15</v>
      </c>
      <c r="F10" s="8">
        <v>10</v>
      </c>
      <c r="G10" s="16">
        <v>14</v>
      </c>
      <c r="H10" s="16">
        <v>13</v>
      </c>
      <c r="I10" s="8">
        <v>10</v>
      </c>
      <c r="J10" s="16">
        <v>9</v>
      </c>
      <c r="K10" s="8">
        <v>5</v>
      </c>
      <c r="L10" s="8">
        <v>10</v>
      </c>
      <c r="M10" s="16">
        <v>9</v>
      </c>
      <c r="N10" s="8">
        <v>95</v>
      </c>
      <c r="O10" s="9">
        <v>95</v>
      </c>
      <c r="P10" s="20" t="s">
        <v>53</v>
      </c>
      <c r="Q10" s="7" t="s">
        <v>82</v>
      </c>
      <c r="R10" s="11" t="s">
        <v>83</v>
      </c>
      <c r="S10" s="7" t="s">
        <v>84</v>
      </c>
      <c r="T10" s="11" t="s">
        <v>85</v>
      </c>
      <c r="U10" s="7" t="s">
        <v>86</v>
      </c>
      <c r="V10" s="25" t="s">
        <v>37</v>
      </c>
      <c r="W10" s="25" t="s">
        <v>38</v>
      </c>
      <c r="X10" s="25" t="s">
        <v>39</v>
      </c>
      <c r="Y10" s="25" t="s">
        <v>40</v>
      </c>
      <c r="Z10" s="25" t="s">
        <v>41</v>
      </c>
      <c r="AA10" s="25" t="s">
        <v>42</v>
      </c>
    </row>
    <row r="11" spans="1:27" ht="129.94999999999999" customHeight="1">
      <c r="A11" s="12">
        <v>8</v>
      </c>
      <c r="B11" s="13" t="s">
        <v>87</v>
      </c>
      <c r="C11" s="14">
        <v>141</v>
      </c>
      <c r="D11" s="15" t="s">
        <v>88</v>
      </c>
      <c r="E11" s="8">
        <v>15</v>
      </c>
      <c r="F11" s="16">
        <v>9</v>
      </c>
      <c r="G11" s="8">
        <v>15</v>
      </c>
      <c r="H11" s="16">
        <v>14</v>
      </c>
      <c r="I11" s="8">
        <v>10</v>
      </c>
      <c r="J11" s="16">
        <v>9</v>
      </c>
      <c r="K11" s="8">
        <v>5</v>
      </c>
      <c r="L11" s="8">
        <v>10</v>
      </c>
      <c r="M11" s="16">
        <v>9</v>
      </c>
      <c r="N11" s="8">
        <v>96</v>
      </c>
      <c r="O11" s="9">
        <v>106</v>
      </c>
      <c r="P11" s="10" t="s">
        <v>89</v>
      </c>
      <c r="Q11" s="15" t="s">
        <v>90</v>
      </c>
      <c r="R11" s="17" t="s">
        <v>91</v>
      </c>
      <c r="S11" s="15" t="s">
        <v>92</v>
      </c>
      <c r="T11" s="17" t="s">
        <v>93</v>
      </c>
      <c r="U11" s="15" t="s">
        <v>94</v>
      </c>
      <c r="V11" s="26" t="s">
        <v>37</v>
      </c>
      <c r="W11" s="26" t="s">
        <v>38</v>
      </c>
      <c r="X11" s="26" t="s">
        <v>39</v>
      </c>
      <c r="Y11" s="26" t="s">
        <v>40</v>
      </c>
      <c r="Z11" s="26" t="s">
        <v>41</v>
      </c>
      <c r="AA11" s="26" t="s">
        <v>42</v>
      </c>
    </row>
    <row r="12" spans="1:27" ht="129.94999999999999" customHeight="1">
      <c r="A12" s="4">
        <v>9</v>
      </c>
      <c r="B12" s="5" t="s">
        <v>95</v>
      </c>
      <c r="C12" s="6">
        <v>141</v>
      </c>
      <c r="D12" s="7" t="s">
        <v>96</v>
      </c>
      <c r="E12" s="16">
        <v>13</v>
      </c>
      <c r="F12" s="18">
        <v>5</v>
      </c>
      <c r="G12" s="16">
        <v>13</v>
      </c>
      <c r="H12" s="16">
        <v>13</v>
      </c>
      <c r="I12" s="16">
        <v>9</v>
      </c>
      <c r="J12" s="16">
        <v>9</v>
      </c>
      <c r="K12" s="16">
        <v>4</v>
      </c>
      <c r="L12" s="16">
        <v>9</v>
      </c>
      <c r="M12" s="16">
        <v>8</v>
      </c>
      <c r="N12" s="16">
        <v>83</v>
      </c>
      <c r="O12" s="21">
        <v>83</v>
      </c>
      <c r="P12" s="20" t="s">
        <v>53</v>
      </c>
      <c r="Q12" s="7" t="s">
        <v>97</v>
      </c>
      <c r="R12" s="11" t="s">
        <v>98</v>
      </c>
      <c r="S12" s="7" t="s">
        <v>99</v>
      </c>
      <c r="T12" s="11" t="s">
        <v>100</v>
      </c>
      <c r="U12" s="7" t="s">
        <v>101</v>
      </c>
      <c r="V12" s="25" t="s">
        <v>37</v>
      </c>
      <c r="W12" s="25" t="s">
        <v>38</v>
      </c>
      <c r="X12" s="25" t="s">
        <v>39</v>
      </c>
      <c r="Y12" s="25" t="s">
        <v>40</v>
      </c>
      <c r="Z12" s="25" t="s">
        <v>41</v>
      </c>
      <c r="AA12" s="25" t="s">
        <v>42</v>
      </c>
    </row>
    <row r="13" spans="1:27" ht="129.94999999999999" customHeight="1">
      <c r="A13" s="12">
        <v>10</v>
      </c>
      <c r="B13" s="13" t="s">
        <v>102</v>
      </c>
      <c r="C13" s="14">
        <v>141</v>
      </c>
      <c r="D13" s="15" t="s">
        <v>103</v>
      </c>
      <c r="E13" s="8">
        <v>15</v>
      </c>
      <c r="F13" s="16">
        <v>9</v>
      </c>
      <c r="G13" s="8">
        <v>15</v>
      </c>
      <c r="H13" s="16">
        <v>14</v>
      </c>
      <c r="I13" s="8">
        <v>10</v>
      </c>
      <c r="J13" s="8">
        <v>10</v>
      </c>
      <c r="K13" s="8">
        <v>5</v>
      </c>
      <c r="L13" s="8">
        <v>10</v>
      </c>
      <c r="M13" s="16">
        <v>9</v>
      </c>
      <c r="N13" s="8">
        <v>97</v>
      </c>
      <c r="O13" s="9">
        <v>102</v>
      </c>
      <c r="P13" s="10" t="s">
        <v>104</v>
      </c>
      <c r="Q13" s="15" t="s">
        <v>105</v>
      </c>
      <c r="R13" s="17" t="s">
        <v>106</v>
      </c>
      <c r="S13" s="15" t="s">
        <v>107</v>
      </c>
      <c r="T13" s="17" t="s">
        <v>108</v>
      </c>
      <c r="U13" s="15" t="s">
        <v>109</v>
      </c>
      <c r="V13" s="26" t="s">
        <v>37</v>
      </c>
      <c r="W13" s="26" t="s">
        <v>38</v>
      </c>
      <c r="X13" s="26" t="s">
        <v>39</v>
      </c>
      <c r="Y13" s="26" t="s">
        <v>40</v>
      </c>
      <c r="Z13" s="26" t="s">
        <v>41</v>
      </c>
      <c r="AA13" s="26" t="s">
        <v>42</v>
      </c>
    </row>
    <row r="14" spans="1:27" ht="129.94999999999999" customHeight="1">
      <c r="A14" s="4">
        <v>11</v>
      </c>
      <c r="B14" s="5" t="s">
        <v>110</v>
      </c>
      <c r="C14" s="6">
        <v>141</v>
      </c>
      <c r="D14" s="7" t="s">
        <v>111</v>
      </c>
      <c r="E14" s="8">
        <v>15</v>
      </c>
      <c r="F14" s="16">
        <v>8</v>
      </c>
      <c r="G14" s="8">
        <v>15</v>
      </c>
      <c r="H14" s="16">
        <v>14</v>
      </c>
      <c r="I14" s="16">
        <v>9</v>
      </c>
      <c r="J14" s="16">
        <v>9</v>
      </c>
      <c r="K14" s="8">
        <v>5</v>
      </c>
      <c r="L14" s="8">
        <v>10</v>
      </c>
      <c r="M14" s="16">
        <v>9</v>
      </c>
      <c r="N14" s="8">
        <v>94</v>
      </c>
      <c r="O14" s="9">
        <v>99</v>
      </c>
      <c r="P14" s="10" t="s">
        <v>112</v>
      </c>
      <c r="Q14" s="7" t="s">
        <v>113</v>
      </c>
      <c r="R14" s="11" t="s">
        <v>114</v>
      </c>
      <c r="S14" s="7" t="s">
        <v>115</v>
      </c>
      <c r="T14" s="11" t="s">
        <v>116</v>
      </c>
      <c r="U14" s="7" t="s">
        <v>117</v>
      </c>
      <c r="V14" s="25" t="s">
        <v>37</v>
      </c>
      <c r="W14" s="25" t="s">
        <v>38</v>
      </c>
      <c r="X14" s="25" t="s">
        <v>39</v>
      </c>
      <c r="Y14" s="25" t="s">
        <v>40</v>
      </c>
      <c r="Z14" s="25" t="s">
        <v>41</v>
      </c>
      <c r="AA14" s="25" t="s">
        <v>42</v>
      </c>
    </row>
    <row r="15" spans="1:27" ht="129.94999999999999" customHeight="1">
      <c r="A15" s="12">
        <v>12</v>
      </c>
      <c r="B15" s="13" t="s">
        <v>118</v>
      </c>
      <c r="C15" s="14">
        <v>141</v>
      </c>
      <c r="D15" s="15" t="s">
        <v>119</v>
      </c>
      <c r="E15" s="8">
        <v>15</v>
      </c>
      <c r="F15" s="8">
        <v>10</v>
      </c>
      <c r="G15" s="8">
        <v>15</v>
      </c>
      <c r="H15" s="8">
        <v>15</v>
      </c>
      <c r="I15" s="8">
        <v>10</v>
      </c>
      <c r="J15" s="8">
        <v>10</v>
      </c>
      <c r="K15" s="8">
        <v>5</v>
      </c>
      <c r="L15" s="8">
        <v>10</v>
      </c>
      <c r="M15" s="16">
        <v>9</v>
      </c>
      <c r="N15" s="8">
        <v>99</v>
      </c>
      <c r="O15" s="9">
        <v>99</v>
      </c>
      <c r="P15" s="20" t="s">
        <v>53</v>
      </c>
      <c r="Q15" s="15" t="s">
        <v>120</v>
      </c>
      <c r="R15" s="17" t="s">
        <v>121</v>
      </c>
      <c r="S15" s="15" t="s">
        <v>122</v>
      </c>
      <c r="T15" s="17" t="s">
        <v>123</v>
      </c>
      <c r="U15" s="15" t="s">
        <v>124</v>
      </c>
      <c r="V15" s="26" t="s">
        <v>37</v>
      </c>
      <c r="W15" s="26" t="s">
        <v>38</v>
      </c>
      <c r="X15" s="26" t="s">
        <v>39</v>
      </c>
      <c r="Y15" s="26" t="s">
        <v>40</v>
      </c>
      <c r="Z15" s="26" t="s">
        <v>41</v>
      </c>
      <c r="AA15" s="26" t="s">
        <v>42</v>
      </c>
    </row>
    <row r="16" spans="1:27" ht="129.94999999999999" customHeight="1">
      <c r="A16" s="4">
        <v>13</v>
      </c>
      <c r="B16" s="5" t="s">
        <v>125</v>
      </c>
      <c r="C16" s="6">
        <v>141</v>
      </c>
      <c r="D16" s="7" t="s">
        <v>126</v>
      </c>
      <c r="E16" s="16">
        <v>14</v>
      </c>
      <c r="F16" s="16">
        <v>7</v>
      </c>
      <c r="G16" s="8">
        <v>15</v>
      </c>
      <c r="H16" s="16">
        <v>13</v>
      </c>
      <c r="I16" s="16">
        <v>9</v>
      </c>
      <c r="J16" s="16">
        <v>8</v>
      </c>
      <c r="K16" s="8">
        <v>5</v>
      </c>
      <c r="L16" s="16">
        <v>8</v>
      </c>
      <c r="M16" s="16">
        <v>8</v>
      </c>
      <c r="N16" s="16">
        <v>87</v>
      </c>
      <c r="O16" s="21">
        <v>87</v>
      </c>
      <c r="P16" s="20" t="s">
        <v>53</v>
      </c>
      <c r="Q16" s="7" t="s">
        <v>127</v>
      </c>
      <c r="R16" s="11" t="s">
        <v>128</v>
      </c>
      <c r="S16" s="7" t="s">
        <v>129</v>
      </c>
      <c r="T16" s="11" t="s">
        <v>130</v>
      </c>
      <c r="U16" s="7" t="s">
        <v>131</v>
      </c>
      <c r="V16" s="25" t="s">
        <v>37</v>
      </c>
      <c r="W16" s="25" t="s">
        <v>38</v>
      </c>
      <c r="X16" s="25" t="s">
        <v>39</v>
      </c>
      <c r="Y16" s="25" t="s">
        <v>40</v>
      </c>
      <c r="Z16" s="25" t="s">
        <v>41</v>
      </c>
      <c r="AA16" s="25" t="s">
        <v>42</v>
      </c>
    </row>
    <row r="17" spans="1:27" ht="129.94999999999999" customHeight="1">
      <c r="A17" s="12">
        <v>14</v>
      </c>
      <c r="B17" s="13" t="s">
        <v>132</v>
      </c>
      <c r="C17" s="14">
        <v>144</v>
      </c>
      <c r="D17" s="15" t="s">
        <v>133</v>
      </c>
      <c r="E17" s="16">
        <v>14</v>
      </c>
      <c r="F17" s="8">
        <v>10</v>
      </c>
      <c r="G17" s="8">
        <v>15</v>
      </c>
      <c r="H17" s="16">
        <v>14</v>
      </c>
      <c r="I17" s="8">
        <v>10</v>
      </c>
      <c r="J17" s="16">
        <v>9</v>
      </c>
      <c r="K17" s="8">
        <v>5</v>
      </c>
      <c r="L17" s="8">
        <v>10</v>
      </c>
      <c r="M17" s="16">
        <v>8</v>
      </c>
      <c r="N17" s="8">
        <v>95</v>
      </c>
      <c r="O17" s="9">
        <v>95</v>
      </c>
      <c r="P17" s="20" t="s">
        <v>53</v>
      </c>
      <c r="Q17" s="15" t="s">
        <v>134</v>
      </c>
      <c r="R17" s="17" t="s">
        <v>135</v>
      </c>
      <c r="S17" s="15" t="s">
        <v>136</v>
      </c>
      <c r="T17" s="17" t="s">
        <v>137</v>
      </c>
      <c r="U17" s="15" t="s">
        <v>138</v>
      </c>
      <c r="V17" s="26" t="s">
        <v>37</v>
      </c>
      <c r="W17" s="26" t="s">
        <v>38</v>
      </c>
      <c r="X17" s="26" t="s">
        <v>39</v>
      </c>
      <c r="Y17" s="26" t="s">
        <v>40</v>
      </c>
      <c r="Z17" s="26" t="s">
        <v>41</v>
      </c>
      <c r="AA17" s="26" t="s">
        <v>42</v>
      </c>
    </row>
    <row r="18" spans="1:27" ht="129.94999999999999" customHeight="1">
      <c r="A18" s="4">
        <v>15</v>
      </c>
      <c r="B18" s="5" t="s">
        <v>139</v>
      </c>
      <c r="C18" s="6">
        <v>144</v>
      </c>
      <c r="D18" s="7" t="s">
        <v>140</v>
      </c>
      <c r="E18" s="16">
        <v>14</v>
      </c>
      <c r="F18" s="8">
        <v>10</v>
      </c>
      <c r="G18" s="16">
        <v>14</v>
      </c>
      <c r="H18" s="16">
        <v>12</v>
      </c>
      <c r="I18" s="8">
        <v>10</v>
      </c>
      <c r="J18" s="18">
        <v>0</v>
      </c>
      <c r="K18" s="16">
        <v>4</v>
      </c>
      <c r="L18" s="8">
        <v>10</v>
      </c>
      <c r="M18" s="16">
        <v>7</v>
      </c>
      <c r="N18" s="16">
        <v>81</v>
      </c>
      <c r="O18" s="9">
        <v>91</v>
      </c>
      <c r="P18" s="10" t="s">
        <v>141</v>
      </c>
      <c r="Q18" s="7" t="s">
        <v>142</v>
      </c>
      <c r="R18" s="11" t="s">
        <v>143</v>
      </c>
      <c r="S18" s="7" t="s">
        <v>144</v>
      </c>
      <c r="T18" s="11" t="s">
        <v>145</v>
      </c>
      <c r="U18" s="7" t="s">
        <v>146</v>
      </c>
      <c r="V18" s="25" t="s">
        <v>37</v>
      </c>
      <c r="W18" s="25" t="s">
        <v>38</v>
      </c>
      <c r="X18" s="25" t="s">
        <v>39</v>
      </c>
      <c r="Y18" s="25" t="s">
        <v>40</v>
      </c>
      <c r="Z18" s="25" t="s">
        <v>41</v>
      </c>
      <c r="AA18" s="25" t="s">
        <v>42</v>
      </c>
    </row>
    <row r="19" spans="1:27" ht="129.94999999999999" customHeight="1">
      <c r="A19" s="12">
        <v>16</v>
      </c>
      <c r="B19" s="13" t="s">
        <v>147</v>
      </c>
      <c r="C19" s="14">
        <v>144</v>
      </c>
      <c r="D19" s="15" t="s">
        <v>148</v>
      </c>
      <c r="E19" s="16">
        <v>14</v>
      </c>
      <c r="F19" s="16">
        <v>8</v>
      </c>
      <c r="G19" s="16">
        <v>14</v>
      </c>
      <c r="H19" s="16">
        <v>14</v>
      </c>
      <c r="I19" s="16">
        <v>9</v>
      </c>
      <c r="J19" s="8">
        <v>10</v>
      </c>
      <c r="K19" s="16">
        <v>4</v>
      </c>
      <c r="L19" s="16">
        <v>9</v>
      </c>
      <c r="M19" s="16">
        <v>9</v>
      </c>
      <c r="N19" s="8">
        <v>91</v>
      </c>
      <c r="O19" s="9">
        <v>91</v>
      </c>
      <c r="P19" s="20" t="s">
        <v>53</v>
      </c>
      <c r="Q19" s="15" t="s">
        <v>149</v>
      </c>
      <c r="R19" s="17" t="s">
        <v>150</v>
      </c>
      <c r="S19" s="15" t="s">
        <v>151</v>
      </c>
      <c r="T19" s="17" t="s">
        <v>152</v>
      </c>
      <c r="U19" s="15" t="s">
        <v>153</v>
      </c>
      <c r="V19" s="26" t="s">
        <v>37</v>
      </c>
      <c r="W19" s="26" t="s">
        <v>38</v>
      </c>
      <c r="X19" s="26" t="s">
        <v>39</v>
      </c>
      <c r="Y19" s="26" t="s">
        <v>40</v>
      </c>
      <c r="Z19" s="26" t="s">
        <v>41</v>
      </c>
      <c r="AA19" s="26" t="s">
        <v>42</v>
      </c>
    </row>
    <row r="20" spans="1:27" ht="129.94999999999999" customHeight="1">
      <c r="A20" s="4">
        <v>17</v>
      </c>
      <c r="B20" s="5" t="s">
        <v>154</v>
      </c>
      <c r="C20" s="6">
        <v>144</v>
      </c>
      <c r="D20" s="7" t="s">
        <v>155</v>
      </c>
      <c r="E20" s="16">
        <v>14</v>
      </c>
      <c r="F20" s="16">
        <v>8</v>
      </c>
      <c r="G20" s="16">
        <v>14</v>
      </c>
      <c r="H20" s="16">
        <v>12</v>
      </c>
      <c r="I20" s="16">
        <v>9</v>
      </c>
      <c r="J20" s="16">
        <v>7</v>
      </c>
      <c r="K20" s="16">
        <v>4</v>
      </c>
      <c r="L20" s="16">
        <v>8</v>
      </c>
      <c r="M20" s="18">
        <v>6</v>
      </c>
      <c r="N20" s="16">
        <v>82</v>
      </c>
      <c r="O20" s="9">
        <v>90</v>
      </c>
      <c r="P20" s="10" t="s">
        <v>156</v>
      </c>
      <c r="Q20" s="7" t="s">
        <v>157</v>
      </c>
      <c r="R20" s="11" t="s">
        <v>158</v>
      </c>
      <c r="S20" s="7" t="s">
        <v>159</v>
      </c>
      <c r="T20" s="11" t="s">
        <v>160</v>
      </c>
      <c r="U20" s="7" t="s">
        <v>161</v>
      </c>
      <c r="V20" s="25" t="s">
        <v>37</v>
      </c>
      <c r="W20" s="25" t="s">
        <v>38</v>
      </c>
      <c r="X20" s="25" t="s">
        <v>39</v>
      </c>
      <c r="Y20" s="25" t="s">
        <v>40</v>
      </c>
      <c r="Z20" s="25" t="s">
        <v>41</v>
      </c>
      <c r="AA20" s="25" t="s">
        <v>42</v>
      </c>
    </row>
    <row r="21" spans="1:27" ht="129.94999999999999" customHeight="1">
      <c r="A21" s="12">
        <v>18</v>
      </c>
      <c r="B21" s="13" t="s">
        <v>162</v>
      </c>
      <c r="C21" s="14">
        <v>144</v>
      </c>
      <c r="D21" s="15" t="s">
        <v>163</v>
      </c>
      <c r="E21" s="8">
        <v>15</v>
      </c>
      <c r="F21" s="8">
        <v>10</v>
      </c>
      <c r="G21" s="8">
        <v>15</v>
      </c>
      <c r="H21" s="16">
        <v>14</v>
      </c>
      <c r="I21" s="8">
        <v>10</v>
      </c>
      <c r="J21" s="16">
        <v>9</v>
      </c>
      <c r="K21" s="8">
        <v>5</v>
      </c>
      <c r="L21" s="8">
        <v>10</v>
      </c>
      <c r="M21" s="16">
        <v>9</v>
      </c>
      <c r="N21" s="8">
        <v>97</v>
      </c>
      <c r="O21" s="9">
        <v>102</v>
      </c>
      <c r="P21" s="10" t="s">
        <v>164</v>
      </c>
      <c r="Q21" s="15" t="s">
        <v>165</v>
      </c>
      <c r="R21" s="17" t="s">
        <v>166</v>
      </c>
      <c r="S21" s="15" t="s">
        <v>167</v>
      </c>
      <c r="T21" s="17" t="s">
        <v>168</v>
      </c>
      <c r="U21" s="15" t="s">
        <v>169</v>
      </c>
      <c r="V21" s="26" t="s">
        <v>37</v>
      </c>
      <c r="W21" s="26" t="s">
        <v>38</v>
      </c>
      <c r="X21" s="26" t="s">
        <v>39</v>
      </c>
      <c r="Y21" s="26" t="s">
        <v>40</v>
      </c>
      <c r="Z21" s="26" t="s">
        <v>41</v>
      </c>
      <c r="AA21" s="26" t="s">
        <v>42</v>
      </c>
    </row>
    <row r="22" spans="1:27" ht="129.94999999999999" customHeight="1">
      <c r="A22" s="4">
        <v>19</v>
      </c>
      <c r="B22" s="5" t="s">
        <v>170</v>
      </c>
      <c r="C22" s="6">
        <v>144</v>
      </c>
      <c r="D22" s="7" t="s">
        <v>171</v>
      </c>
      <c r="E22" s="16">
        <v>13</v>
      </c>
      <c r="F22" s="18">
        <v>5</v>
      </c>
      <c r="G22" s="16">
        <v>14</v>
      </c>
      <c r="H22" s="16">
        <v>13</v>
      </c>
      <c r="I22" s="16">
        <v>9</v>
      </c>
      <c r="J22" s="16">
        <v>8</v>
      </c>
      <c r="K22" s="16">
        <v>4</v>
      </c>
      <c r="L22" s="16">
        <v>9</v>
      </c>
      <c r="M22" s="16">
        <v>8</v>
      </c>
      <c r="N22" s="16">
        <v>83</v>
      </c>
      <c r="O22" s="21">
        <v>83</v>
      </c>
      <c r="P22" s="20" t="s">
        <v>53</v>
      </c>
      <c r="Q22" s="7" t="s">
        <v>172</v>
      </c>
      <c r="R22" s="11" t="s">
        <v>173</v>
      </c>
      <c r="S22" s="7" t="s">
        <v>174</v>
      </c>
      <c r="T22" s="11" t="s">
        <v>175</v>
      </c>
      <c r="U22" s="7" t="s">
        <v>176</v>
      </c>
      <c r="V22" s="25" t="s">
        <v>37</v>
      </c>
      <c r="W22" s="25" t="s">
        <v>38</v>
      </c>
      <c r="X22" s="25" t="s">
        <v>39</v>
      </c>
      <c r="Y22" s="25" t="s">
        <v>40</v>
      </c>
      <c r="Z22" s="25" t="s">
        <v>41</v>
      </c>
      <c r="AA22" s="25" t="s">
        <v>42</v>
      </c>
    </row>
    <row r="23" spans="1:27" ht="129.94999999999999" customHeight="1">
      <c r="A23" s="12">
        <v>20</v>
      </c>
      <c r="B23" s="13" t="s">
        <v>177</v>
      </c>
      <c r="C23" s="14">
        <v>144</v>
      </c>
      <c r="D23" s="15" t="s">
        <v>178</v>
      </c>
      <c r="E23" s="16">
        <v>14</v>
      </c>
      <c r="F23" s="16">
        <v>7</v>
      </c>
      <c r="G23" s="8">
        <v>15</v>
      </c>
      <c r="H23" s="16">
        <v>14</v>
      </c>
      <c r="I23" s="8">
        <v>10</v>
      </c>
      <c r="J23" s="8">
        <v>10</v>
      </c>
      <c r="K23" s="8">
        <v>5</v>
      </c>
      <c r="L23" s="8">
        <v>10</v>
      </c>
      <c r="M23" s="16">
        <v>9</v>
      </c>
      <c r="N23" s="8">
        <v>94</v>
      </c>
      <c r="O23" s="9">
        <v>94</v>
      </c>
      <c r="P23" s="20" t="s">
        <v>53</v>
      </c>
      <c r="Q23" s="15" t="s">
        <v>179</v>
      </c>
      <c r="R23" s="17" t="s">
        <v>180</v>
      </c>
      <c r="S23" s="15" t="s">
        <v>181</v>
      </c>
      <c r="T23" s="17" t="s">
        <v>182</v>
      </c>
      <c r="U23" s="15" t="s">
        <v>183</v>
      </c>
      <c r="V23" s="26" t="s">
        <v>37</v>
      </c>
      <c r="W23" s="26" t="s">
        <v>38</v>
      </c>
      <c r="X23" s="26" t="s">
        <v>39</v>
      </c>
      <c r="Y23" s="26" t="s">
        <v>40</v>
      </c>
      <c r="Z23" s="26" t="s">
        <v>41</v>
      </c>
      <c r="AA23" s="26" t="s">
        <v>42</v>
      </c>
    </row>
    <row r="24" spans="1:27" ht="129.94999999999999" customHeight="1">
      <c r="A24" s="4">
        <v>21</v>
      </c>
      <c r="B24" s="5" t="s">
        <v>184</v>
      </c>
      <c r="C24" s="6">
        <v>144</v>
      </c>
      <c r="D24" s="7" t="s">
        <v>185</v>
      </c>
      <c r="E24" s="16">
        <v>14</v>
      </c>
      <c r="F24" s="8">
        <v>10</v>
      </c>
      <c r="G24" s="8">
        <v>15</v>
      </c>
      <c r="H24" s="16">
        <v>14</v>
      </c>
      <c r="I24" s="8">
        <v>10</v>
      </c>
      <c r="J24" s="8">
        <v>10</v>
      </c>
      <c r="K24" s="8">
        <v>5</v>
      </c>
      <c r="L24" s="16">
        <v>7</v>
      </c>
      <c r="M24" s="16">
        <v>8</v>
      </c>
      <c r="N24" s="8">
        <v>93</v>
      </c>
      <c r="O24" s="9">
        <v>98</v>
      </c>
      <c r="P24" s="10" t="s">
        <v>186</v>
      </c>
      <c r="Q24" s="7" t="s">
        <v>187</v>
      </c>
      <c r="R24" s="11" t="s">
        <v>188</v>
      </c>
      <c r="S24" s="7" t="s">
        <v>189</v>
      </c>
      <c r="T24" s="11" t="s">
        <v>190</v>
      </c>
      <c r="U24" s="7" t="s">
        <v>191</v>
      </c>
      <c r="V24" s="25" t="s">
        <v>37</v>
      </c>
      <c r="W24" s="25" t="s">
        <v>38</v>
      </c>
      <c r="X24" s="25" t="s">
        <v>39</v>
      </c>
      <c r="Y24" s="25" t="s">
        <v>40</v>
      </c>
      <c r="Z24" s="25" t="s">
        <v>41</v>
      </c>
      <c r="AA24" s="25" t="s">
        <v>42</v>
      </c>
    </row>
    <row r="25" spans="1:27" ht="150" customHeight="1">
      <c r="A25" s="12">
        <v>22</v>
      </c>
      <c r="B25" s="13" t="s">
        <v>192</v>
      </c>
      <c r="C25" s="14">
        <v>144</v>
      </c>
      <c r="D25" s="15" t="s">
        <v>193</v>
      </c>
      <c r="E25" s="16">
        <v>13</v>
      </c>
      <c r="F25" s="16">
        <v>8</v>
      </c>
      <c r="G25" s="16">
        <v>13</v>
      </c>
      <c r="H25" s="16">
        <v>12</v>
      </c>
      <c r="I25" s="16">
        <v>9</v>
      </c>
      <c r="J25" s="16">
        <v>7</v>
      </c>
      <c r="K25" s="16">
        <v>4</v>
      </c>
      <c r="L25" s="16">
        <v>8</v>
      </c>
      <c r="M25" s="18">
        <v>5</v>
      </c>
      <c r="N25" s="16">
        <v>79</v>
      </c>
      <c r="O25" s="21">
        <v>89</v>
      </c>
      <c r="P25" s="10" t="s">
        <v>194</v>
      </c>
      <c r="Q25" s="15" t="s">
        <v>195</v>
      </c>
      <c r="R25" s="17" t="s">
        <v>196</v>
      </c>
      <c r="S25" s="15" t="s">
        <v>197</v>
      </c>
      <c r="T25" s="17" t="s">
        <v>198</v>
      </c>
      <c r="U25" s="15" t="s">
        <v>199</v>
      </c>
      <c r="V25" s="26" t="s">
        <v>37</v>
      </c>
      <c r="W25" s="26" t="s">
        <v>38</v>
      </c>
      <c r="X25" s="26" t="s">
        <v>39</v>
      </c>
      <c r="Y25" s="26" t="s">
        <v>40</v>
      </c>
      <c r="Z25" s="26" t="s">
        <v>41</v>
      </c>
      <c r="AA25" s="26" t="s">
        <v>42</v>
      </c>
    </row>
    <row r="26" spans="1:27" ht="129.94999999999999" customHeight="1">
      <c r="A26" s="4">
        <v>23</v>
      </c>
      <c r="B26" s="5" t="s">
        <v>200</v>
      </c>
      <c r="C26" s="6">
        <v>144</v>
      </c>
      <c r="D26" s="7" t="s">
        <v>201</v>
      </c>
      <c r="E26" s="8">
        <v>15</v>
      </c>
      <c r="F26" s="8">
        <v>10</v>
      </c>
      <c r="G26" s="8">
        <v>15</v>
      </c>
      <c r="H26" s="16">
        <v>14</v>
      </c>
      <c r="I26" s="8">
        <v>10</v>
      </c>
      <c r="J26" s="8">
        <v>10</v>
      </c>
      <c r="K26" s="8">
        <v>5</v>
      </c>
      <c r="L26" s="8">
        <v>10</v>
      </c>
      <c r="M26" s="8">
        <v>10</v>
      </c>
      <c r="N26" s="8">
        <v>99</v>
      </c>
      <c r="O26" s="9">
        <v>104</v>
      </c>
      <c r="P26" s="10" t="s">
        <v>202</v>
      </c>
      <c r="Q26" s="7" t="s">
        <v>203</v>
      </c>
      <c r="R26" s="11" t="s">
        <v>204</v>
      </c>
      <c r="S26" s="7" t="s">
        <v>205</v>
      </c>
      <c r="T26" s="11" t="s">
        <v>206</v>
      </c>
      <c r="U26" s="7" t="s">
        <v>207</v>
      </c>
      <c r="V26" s="25" t="s">
        <v>37</v>
      </c>
      <c r="W26" s="25" t="s">
        <v>38</v>
      </c>
      <c r="X26" s="25" t="s">
        <v>39</v>
      </c>
      <c r="Y26" s="25" t="s">
        <v>40</v>
      </c>
      <c r="Z26" s="25" t="s">
        <v>41</v>
      </c>
      <c r="AA26" s="25" t="s">
        <v>42</v>
      </c>
    </row>
    <row r="27" spans="1:27" ht="159.94999999999999" customHeight="1">
      <c r="A27" s="12">
        <v>24</v>
      </c>
      <c r="B27" s="13" t="s">
        <v>208</v>
      </c>
      <c r="C27" s="14">
        <v>144</v>
      </c>
      <c r="D27" s="15" t="s">
        <v>209</v>
      </c>
      <c r="E27" s="16">
        <v>13</v>
      </c>
      <c r="F27" s="16">
        <v>8</v>
      </c>
      <c r="G27" s="16">
        <v>13</v>
      </c>
      <c r="H27" s="16">
        <v>12</v>
      </c>
      <c r="I27" s="16">
        <v>9</v>
      </c>
      <c r="J27" s="16">
        <v>7</v>
      </c>
      <c r="K27" s="16">
        <v>4</v>
      </c>
      <c r="L27" s="16">
        <v>8</v>
      </c>
      <c r="M27" s="18">
        <v>5</v>
      </c>
      <c r="N27" s="16">
        <v>79</v>
      </c>
      <c r="O27" s="21">
        <v>89</v>
      </c>
      <c r="P27" s="10" t="s">
        <v>194</v>
      </c>
      <c r="Q27" s="15" t="s">
        <v>210</v>
      </c>
      <c r="R27" s="17" t="s">
        <v>211</v>
      </c>
      <c r="S27" s="15" t="s">
        <v>212</v>
      </c>
      <c r="T27" s="17" t="s">
        <v>213</v>
      </c>
      <c r="U27" s="15" t="s">
        <v>214</v>
      </c>
      <c r="V27" s="26" t="s">
        <v>37</v>
      </c>
      <c r="W27" s="26" t="s">
        <v>38</v>
      </c>
      <c r="X27" s="26" t="s">
        <v>39</v>
      </c>
      <c r="Y27" s="26" t="s">
        <v>40</v>
      </c>
      <c r="Z27" s="26" t="s">
        <v>41</v>
      </c>
      <c r="AA27" s="26" t="s">
        <v>42</v>
      </c>
    </row>
    <row r="28" spans="1:27" ht="24.95" customHeight="1">
      <c r="A28" s="22" t="s">
        <v>215</v>
      </c>
      <c r="D28" s="23" t="s">
        <v>216</v>
      </c>
      <c r="E28" s="24">
        <f>AVERAGE(N4:N27)</f>
        <v>87.458333333333329</v>
      </c>
      <c r="F28" s="23" t="s">
        <v>217</v>
      </c>
      <c r="G28" s="24">
        <f>AVERAGE(O4:O27)</f>
        <v>91.333333333333329</v>
      </c>
      <c r="H28" s="23" t="s">
        <v>218</v>
      </c>
      <c r="I28" s="24">
        <f>MAX(O4:O27)</f>
        <v>110</v>
      </c>
      <c r="J28" s="23" t="s">
        <v>219</v>
      </c>
      <c r="K28" s="24">
        <f>MIN(O4:O27)</f>
        <v>0</v>
      </c>
      <c r="L28" s="23" t="s">
        <v>220</v>
      </c>
      <c r="M28" s="24">
        <f>COUNTA(B4:B27)</f>
        <v>24</v>
      </c>
    </row>
  </sheetData>
  <mergeCells count="2">
    <mergeCell ref="A1:AA1"/>
    <mergeCell ref="A2:AA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2026-05-20T10:27:39Z</dcterms:created>
  <dcterms:modified xsi:type="dcterms:W3CDTF">2026-05-22T11:55:06Z</dcterms:modified>
  <cp:category/>
  <cp:contentStatus/>
</cp:coreProperties>
</file>